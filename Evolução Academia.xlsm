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imelines/timeline1.xml" ContentType="application/vnd.ms-excel.timelin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3.xml" ContentType="application/vnd.ms-excel.controlpropertie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inicius\Projetos\Planilha Evolução Cris\"/>
    </mc:Choice>
  </mc:AlternateContent>
  <xr:revisionPtr revIDLastSave="0" documentId="13_ncr:1_{C239B885-6A6E-4526-977A-C3639084566A}" xr6:coauthVersionLast="47" xr6:coauthVersionMax="47" xr10:uidLastSave="{00000000-0000-0000-0000-000000000000}"/>
  <bookViews>
    <workbookView xWindow="-108" yWindow="-108" windowWidth="23256" windowHeight="12576" xr2:uid="{CC8F2682-2CA7-4AE1-B704-6BCEAB4E58ED}"/>
  </bookViews>
  <sheets>
    <sheet name="Dashboard" sheetId="9" r:id="rId1"/>
    <sheet name="Simulação" sheetId="14" r:id="rId2"/>
    <sheet name="Form Insert Dados" sheetId="1" r:id="rId3"/>
    <sheet name="Banco Filtrado" sheetId="4" r:id="rId4"/>
    <sheet name="Valores Fixos" sheetId="3" r:id="rId5"/>
    <sheet name="Dados Dashboard" sheetId="7" r:id="rId6"/>
    <sheet name="Banco de Dados" sheetId="2" r:id="rId7"/>
  </sheets>
  <definedNames>
    <definedName name="_xlnm._FilterDatabase" localSheetId="6" hidden="1">'Banco de Dados'!$A$2:$J$1048576</definedName>
    <definedName name="_xlnm._FilterDatabase" localSheetId="1" hidden="1">Simulação!$B$16:$B$18</definedName>
    <definedName name="altura">'Valores Fixos'!$E$10</definedName>
    <definedName name="_xlnm.Extract" localSheetId="3">'Banco Filtrado'!$A$7:$J$7</definedName>
    <definedName name="Atingiu">Simulação!$E$11</definedName>
    <definedName name="Bancodedados">'Banco de Dados'!$A$2:$J$1048576</definedName>
    <definedName name="BancoFiltrado">'Banco Filtrado'!$A$7:$J$1048576</definedName>
    <definedName name="_xlnm.Criteria" localSheetId="3">'Banco Filtrado'!$A$1:$J$2</definedName>
    <definedName name="data">'Form Insert Dados'!$F$5</definedName>
    <definedName name="DataAtual">'Valores Fixos'!$E$6</definedName>
    <definedName name="DataFiltrada">'Banco Filtrado'!$A$7:$A$1048576</definedName>
    <definedName name="DataPenultima">Simulação!$N$6</definedName>
    <definedName name="DataReferencia">Simulação!$D$4</definedName>
    <definedName name="dsgMediaIMc">Dashboard!$CO$7</definedName>
    <definedName name="dshDataMeta">Dashboard!$BB$5</definedName>
    <definedName name="dshDiferenca">Dashboard!$Z$3</definedName>
    <definedName name="dshDiferençaData">Dashboard!$BM$9</definedName>
    <definedName name="dshDiferencaGordura">Dashboard!$CG$7</definedName>
    <definedName name="dshDiferencaIMC">Dashboard!$DA$7</definedName>
    <definedName name="dshEstilo">Dashboard!$AS$5</definedName>
    <definedName name="dshInicioPrograma">Dashboard!$BM$6</definedName>
    <definedName name="dshMaiorPeso">Dashboard!$Z$6</definedName>
    <definedName name="dshMediaGordura">Dashboard!$BT$7</definedName>
    <definedName name="dshMenorPeso">Dashboard!$AC$6</definedName>
    <definedName name="dshMeta">Dashboard!$BB$8</definedName>
    <definedName name="dshObjetivo">Dashboard!$AS$8</definedName>
    <definedName name="dshPrimeiraGrd">Dashboard!$BT$3</definedName>
    <definedName name="dshPrimeiraPesagem">Dashboard!$AC$3</definedName>
    <definedName name="dshPrimeiroIMC">Dashboard!$CO$3</definedName>
    <definedName name="dshUltimaData">Dashboard!$BM$3</definedName>
    <definedName name="dshUltimaGrd">Dashboard!$CG$3</definedName>
    <definedName name="dshUltimoIMC">Dashboard!$DA$3</definedName>
    <definedName name="EmagrecerData">Simulação!$N$11</definedName>
    <definedName name="EngordarData">Simulação!$N$10</definedName>
    <definedName name="gordura">'Form Insert Dados'!$I$7</definedName>
    <definedName name="idade">'Valores Fixos'!$E$8</definedName>
    <definedName name="imc">'Form Insert Dados'!$I$5</definedName>
    <definedName name="Indice">Simulação!$D$8</definedName>
    <definedName name="IndiceCalculado">Simulação!$J$7</definedName>
    <definedName name="LastData">Simulação!$N$7</definedName>
    <definedName name="medidabraco">'Form Insert Dados'!$I$12</definedName>
    <definedName name="medidacintura">'Form Insert Dados'!$L$12</definedName>
    <definedName name="medidapeito">'Form Insert Dados'!$F$14</definedName>
    <definedName name="medidaperna">'Form Insert Dados'!$F$12</definedName>
    <definedName name="medidapescoco">'Form Insert Dados'!$L$14</definedName>
    <definedName name="medidaquadril">'Form Insert Dados'!$I$14</definedName>
    <definedName name="NativeTimeline_Data">#N/A</definedName>
    <definedName name="Objetivo">Simulação!$G$8</definedName>
    <definedName name="peso">'Form Insert Dados'!$F$7</definedName>
    <definedName name="PesoFiltrado">'Banco Filtrado'!$B$7:$B$1048576</definedName>
    <definedName name="simMeta">Simulação!$D$6</definedName>
  </definedNames>
  <calcPr calcId="18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7" i="9" l="1"/>
  <c r="BT7" i="9"/>
  <c r="BM6" i="9"/>
  <c r="BM9" i="9" s="1"/>
  <c r="AH11" i="9"/>
  <c r="J9" i="14"/>
  <c r="J10" i="14"/>
  <c r="J8" i="14"/>
  <c r="J8" i="1" l="1"/>
  <c r="AH5" i="9"/>
  <c r="BB8" i="9"/>
  <c r="BT3" i="9"/>
  <c r="CG7" i="9" s="1"/>
  <c r="CO3" i="9"/>
  <c r="DA7" i="9" s="1"/>
  <c r="AS8" i="9"/>
  <c r="AS5" i="9"/>
  <c r="N6" i="14"/>
  <c r="C16" i="14" l="1"/>
  <c r="D16" i="14" s="1"/>
  <c r="E16" i="14" s="1"/>
  <c r="F16" i="14" s="1"/>
  <c r="G16" i="14" s="1"/>
  <c r="H16" i="14" s="1"/>
  <c r="I16" i="14" s="1"/>
  <c r="J16" i="14" s="1"/>
  <c r="K16" i="14" s="1"/>
  <c r="L16" i="14" s="1"/>
  <c r="M16" i="14" s="1"/>
  <c r="N16" i="14" s="1"/>
  <c r="O16" i="14" s="1"/>
  <c r="P16" i="14" s="1"/>
  <c r="Q16" i="14" s="1"/>
  <c r="R16" i="14" s="1"/>
  <c r="S16" i="14" s="1"/>
  <c r="T16" i="14" s="1"/>
  <c r="U16" i="14" s="1"/>
  <c r="V16" i="14" s="1"/>
  <c r="W16" i="14" s="1"/>
  <c r="X16" i="14" s="1"/>
  <c r="Y16" i="14" s="1"/>
  <c r="Z16" i="14" s="1"/>
  <c r="AA16" i="14" s="1"/>
  <c r="AB16" i="14" s="1"/>
  <c r="AC16" i="14" s="1"/>
  <c r="AD16" i="14" s="1"/>
  <c r="AE16" i="14" s="1"/>
  <c r="AF16" i="14" s="1"/>
  <c r="AG16" i="14" s="1"/>
  <c r="AH16" i="14" s="1"/>
  <c r="AI16" i="14" s="1"/>
  <c r="AJ16" i="14" s="1"/>
  <c r="AK16" i="14" s="1"/>
  <c r="AL16" i="14" s="1"/>
  <c r="AM16" i="14" s="1"/>
  <c r="AN16" i="14" s="1"/>
  <c r="AO16" i="14" s="1"/>
  <c r="AP16" i="14" s="1"/>
  <c r="AQ16" i="14" s="1"/>
  <c r="AR16" i="14" s="1"/>
  <c r="AS16" i="14" s="1"/>
  <c r="AT16" i="14" s="1"/>
  <c r="AU16" i="14" s="1"/>
  <c r="AV16" i="14" s="1"/>
  <c r="AW16" i="14" s="1"/>
  <c r="AX16" i="14" s="1"/>
  <c r="AY16" i="14" s="1"/>
  <c r="N7" i="14"/>
  <c r="J7" i="14" s="1"/>
  <c r="N8" i="14" s="1"/>
  <c r="AN14" i="9"/>
  <c r="AN8" i="9"/>
  <c r="AK14" i="9"/>
  <c r="AK8" i="9"/>
  <c r="AH14" i="9"/>
  <c r="AH8" i="9"/>
  <c r="AN11" i="9"/>
  <c r="AN5" i="9"/>
  <c r="AK11" i="9"/>
  <c r="AK5" i="9"/>
  <c r="AC6" i="9"/>
  <c r="AC3" i="9"/>
  <c r="Z6" i="9"/>
  <c r="J7" i="1"/>
  <c r="I7" i="1" s="1"/>
  <c r="J5" i="1"/>
  <c r="I5" i="1" s="1"/>
  <c r="Z3" i="9" l="1"/>
  <c r="C18" i="14"/>
  <c r="D18" i="14" s="1"/>
  <c r="E18" i="14" s="1"/>
  <c r="F18" i="14" s="1"/>
  <c r="G18" i="14" s="1"/>
  <c r="H18" i="14" s="1"/>
  <c r="I18" i="14" s="1"/>
  <c r="J18" i="14" s="1"/>
  <c r="K18" i="14" s="1"/>
  <c r="L18" i="14" s="1"/>
  <c r="M18" i="14" s="1"/>
  <c r="N18" i="14" s="1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AF18" i="14" s="1"/>
  <c r="AG18" i="14" s="1"/>
  <c r="AH18" i="14" s="1"/>
  <c r="AI18" i="14" s="1"/>
  <c r="AJ18" i="14" s="1"/>
  <c r="AK18" i="14" s="1"/>
  <c r="AL18" i="14" s="1"/>
  <c r="AM18" i="14" s="1"/>
  <c r="AN18" i="14" s="1"/>
  <c r="AO18" i="14" s="1"/>
  <c r="AP18" i="14" s="1"/>
  <c r="AQ18" i="14" s="1"/>
  <c r="AR18" i="14" s="1"/>
  <c r="AS18" i="14" s="1"/>
  <c r="AT18" i="14" s="1"/>
  <c r="AU18" i="14" s="1"/>
  <c r="AV18" i="14" s="1"/>
  <c r="AW18" i="14" s="1"/>
  <c r="AX18" i="14" s="1"/>
  <c r="AY18" i="14" s="1"/>
  <c r="C17" i="14"/>
  <c r="E6" i="3"/>
  <c r="D17" i="14" l="1"/>
  <c r="E8" i="3"/>
  <c r="E17" i="14" l="1"/>
  <c r="F17" i="14" s="1"/>
  <c r="G17" i="14" s="1"/>
  <c r="H17" i="14" s="1"/>
  <c r="I17" i="14" s="1"/>
  <c r="J17" i="14" s="1"/>
  <c r="K17" i="14" s="1"/>
  <c r="L17" i="14" s="1"/>
  <c r="M17" i="14" s="1"/>
  <c r="N17" i="14" s="1"/>
  <c r="O17" i="14" s="1"/>
  <c r="P17" i="14" s="1"/>
  <c r="Q17" i="14" s="1"/>
  <c r="R17" i="14" s="1"/>
  <c r="S17" i="14" s="1"/>
  <c r="T17" i="14" s="1"/>
  <c r="U17" i="14" s="1"/>
  <c r="V17" i="14" s="1"/>
  <c r="W17" i="14" s="1"/>
  <c r="X17" i="14" s="1"/>
  <c r="Y17" i="14" s="1"/>
  <c r="Z17" i="14" s="1"/>
  <c r="AA17" i="14" s="1"/>
  <c r="AB17" i="14" l="1"/>
  <c r="AC17" i="14" s="1"/>
  <c r="AD17" i="14" s="1"/>
  <c r="AE17" i="14" s="1"/>
  <c r="AF17" i="14" s="1"/>
  <c r="AG17" i="14" s="1"/>
  <c r="AH17" i="14" s="1"/>
  <c r="AI17" i="14" s="1"/>
  <c r="AJ17" i="14" s="1"/>
  <c r="AK17" i="14" s="1"/>
  <c r="AL17" i="14" s="1"/>
  <c r="AM17" i="14" s="1"/>
  <c r="AN17" i="14" s="1"/>
  <c r="AO17" i="14" s="1"/>
  <c r="AP17" i="14" s="1"/>
  <c r="AQ17" i="14" s="1"/>
  <c r="AR17" i="14" s="1"/>
  <c r="AS17" i="14" s="1"/>
  <c r="AT17" i="14" s="1"/>
  <c r="AU17" i="14" s="1"/>
  <c r="AV17" i="14" s="1"/>
  <c r="AW17" i="14" s="1"/>
  <c r="AX17" i="14" s="1"/>
  <c r="AY17" i="14" s="1"/>
  <c r="N11" i="14" l="1"/>
  <c r="N10" i="14"/>
  <c r="E11" i="14" s="1"/>
  <c r="BB5" i="9" s="1"/>
  <c r="C10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Medeiros</author>
  </authors>
  <commentList>
    <comment ref="C5" authorId="0" shapeId="0" xr:uid="{A5FA87E8-F0FD-4E98-A2C1-CFB55FC55AF8}">
      <text>
        <r>
          <rPr>
            <sz val="9"/>
            <color indexed="81"/>
            <rFont val="Segoe UI"/>
            <family val="2"/>
          </rPr>
          <t xml:space="preserve">Este é o menu de navegação
</t>
        </r>
      </text>
    </comment>
    <comment ref="G8" authorId="0" shapeId="0" xr:uid="{F701CED6-557C-4A03-98F5-6B79649B5F41}">
      <text>
        <r>
          <rPr>
            <b/>
            <sz val="9"/>
            <color indexed="81"/>
            <rFont val="Segoe UI"/>
            <family val="2"/>
          </rPr>
          <t>Agora vamos ao que interessa! Clique em Inserir Dados</t>
        </r>
      </text>
    </comment>
    <comment ref="C12" authorId="0" shapeId="0" xr:uid="{789ECB47-90CF-4395-A69C-EA2683E96818}">
      <text>
        <r>
          <rPr>
            <b/>
            <sz val="9"/>
            <color indexed="81"/>
            <rFont val="Segoe UI"/>
            <family val="2"/>
          </rPr>
          <t xml:space="preserve">Não se esqueça, nenhum dado é alterado no Dashboard
</t>
        </r>
      </text>
    </comment>
    <comment ref="F12" authorId="0" shapeId="0" xr:uid="{52CA3A3A-6A4F-4EE4-A0D0-43E098C1666E}">
      <text>
        <r>
          <rPr>
            <sz val="9"/>
            <color indexed="81"/>
            <rFont val="Segoe UI"/>
            <family val="2"/>
          </rPr>
          <t xml:space="preserve">Para começarmos, primeiro vamos inserir alguns dados. Clique em Mudar Valores Fixos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Medeiros</author>
  </authors>
  <commentList>
    <comment ref="B4" authorId="0" shapeId="0" xr:uid="{2619AF7C-3F2B-4C73-9EBC-FD423BE17A44}">
      <text>
        <r>
          <rPr>
            <b/>
            <sz val="9"/>
            <color indexed="81"/>
            <rFont val="Segoe UI"/>
            <family val="2"/>
          </rPr>
          <t>A data precisa ser de algum dia que voce inseriu seus dados, para te ajudar voce pode clicar neste botão ao lado</t>
        </r>
      </text>
    </comment>
    <comment ref="B6" authorId="0" shapeId="0" xr:uid="{1DB4A55A-EB55-4825-9108-C61FE396A054}">
      <text>
        <r>
          <rPr>
            <b/>
            <sz val="9"/>
            <color indexed="81"/>
            <rFont val="Segoe UI"/>
            <family val="2"/>
          </rPr>
          <t>Aqui voce pode definir a meta de peso que você deseja alcançar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Medeiros</author>
  </authors>
  <commentList>
    <comment ref="C4" authorId="0" shapeId="0" xr:uid="{5F81AB53-4B83-4785-A081-FA966A80CCFF}">
      <text>
        <r>
          <rPr>
            <b/>
            <sz val="9"/>
            <color indexed="81"/>
            <rFont val="Segoe UI"/>
            <family val="2"/>
          </rPr>
          <t>Este é o formulario para inserir os valores de suas medidas.</t>
        </r>
      </text>
    </comment>
    <comment ref="H5" authorId="0" shapeId="0" xr:uid="{E3CBBA53-4558-4DCE-9A63-2BEF15500883}">
      <text>
        <r>
          <rPr>
            <b/>
            <sz val="9"/>
            <color indexed="81"/>
            <rFont val="Segoe UI"/>
            <family val="2"/>
          </rPr>
          <t>Celulas em cinza não precisam ser alteradas. Elas se calculam automaticamente</t>
        </r>
      </text>
    </comment>
    <comment ref="M5" authorId="0" shapeId="0" xr:uid="{62984DA3-AFDB-4C7B-B264-22EFE02CB131}">
      <text>
        <r>
          <rPr>
            <b/>
            <sz val="9"/>
            <color indexed="81"/>
            <rFont val="Segoe UI"/>
            <family val="2"/>
          </rPr>
          <t>Após preenchido todos os dados com * você pode envia-los ao Banco de Dados</t>
        </r>
      </text>
    </comment>
    <comment ref="H12" authorId="0" shapeId="0" xr:uid="{15EB70C8-E8A3-4987-9BB4-D1C5E8AA4194}">
      <text>
        <r>
          <rPr>
            <b/>
            <sz val="9"/>
            <color indexed="81"/>
            <rFont val="Segoe UI"/>
            <family val="2"/>
          </rPr>
          <t>Para um melhor acompanhamento, seria interessante preencher todos os campo.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Medeiros</author>
  </authors>
  <commentList>
    <comment ref="H5" authorId="0" shapeId="0" xr:uid="{3954A148-5FDE-4A78-8FEA-7B4CA59DB5F8}">
      <text>
        <r>
          <rPr>
            <b/>
            <sz val="9"/>
            <color indexed="81"/>
            <rFont val="Segoe UI"/>
            <family val="2"/>
          </rPr>
          <t>Utilize os campos em branco acima para filtrar algo em especifico, lembrando que sinais como &gt; e &lt; são permitidos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Medeiros</author>
  </authors>
  <commentList>
    <comment ref="I6" authorId="0" shapeId="0" xr:uid="{D041CBD3-B087-474C-A215-B26209E17EB1}">
      <text>
        <r>
          <rPr>
            <b/>
            <sz val="9"/>
            <color indexed="81"/>
            <rFont val="Segoe UI"/>
            <family val="2"/>
          </rPr>
          <t>Utilize os campos em branco para digitar os seus dados</t>
        </r>
      </text>
    </comment>
    <comment ref="I8" authorId="0" shapeId="0" xr:uid="{FC09B127-0518-431B-BF6C-F9B582BE4318}">
      <text>
        <r>
          <rPr>
            <b/>
            <sz val="9"/>
            <color indexed="81"/>
            <rFont val="Segoe UI"/>
            <family val="2"/>
          </rPr>
          <t>Os Campos amarelos são uma lista de seleção</t>
        </r>
      </text>
    </comment>
  </commentList>
</comments>
</file>

<file path=xl/sharedStrings.xml><?xml version="1.0" encoding="utf-8"?>
<sst xmlns="http://schemas.openxmlformats.org/spreadsheetml/2006/main" count="172" uniqueCount="135">
  <si>
    <t>Data</t>
  </si>
  <si>
    <t>Peso</t>
  </si>
  <si>
    <t>Perna</t>
  </si>
  <si>
    <t xml:space="preserve">Perna: </t>
  </si>
  <si>
    <t xml:space="preserve">Braço: </t>
  </si>
  <si>
    <t>Braço</t>
  </si>
  <si>
    <t>Cintura</t>
  </si>
  <si>
    <t>Peito</t>
  </si>
  <si>
    <t xml:space="preserve">Peito: </t>
  </si>
  <si>
    <t>Medidas</t>
  </si>
  <si>
    <t>%Gordura</t>
  </si>
  <si>
    <t>IMC</t>
  </si>
  <si>
    <t>Evolução Pessoal</t>
  </si>
  <si>
    <t>Medidas(cm)</t>
  </si>
  <si>
    <t>Pescoço</t>
  </si>
  <si>
    <t>kg</t>
  </si>
  <si>
    <t>cm</t>
  </si>
  <si>
    <t>Valores Fixos</t>
  </si>
  <si>
    <t>Idade</t>
  </si>
  <si>
    <t>Altura</t>
  </si>
  <si>
    <t>Data Atual</t>
  </si>
  <si>
    <t>Aniversário</t>
  </si>
  <si>
    <t>anos</t>
  </si>
  <si>
    <t>IMC:</t>
  </si>
  <si>
    <t xml:space="preserve">% Gordura: </t>
  </si>
  <si>
    <t>Quadril</t>
  </si>
  <si>
    <t xml:space="preserve">*Cintura: </t>
  </si>
  <si>
    <t xml:space="preserve">*Pescoço: </t>
  </si>
  <si>
    <t xml:space="preserve">*Quadril: </t>
  </si>
  <si>
    <t xml:space="preserve">*Peso: </t>
  </si>
  <si>
    <t xml:space="preserve">*Data: </t>
  </si>
  <si>
    <t>Rótulos de Linha</t>
  </si>
  <si>
    <t>(vazio)</t>
  </si>
  <si>
    <t>Soma de Peso</t>
  </si>
  <si>
    <t>Calculos</t>
  </si>
  <si>
    <t>Medida de Pescoço</t>
  </si>
  <si>
    <t>Medida de Quadril</t>
  </si>
  <si>
    <t>Medida de Peito</t>
  </si>
  <si>
    <t>Medida de Cintura</t>
  </si>
  <si>
    <t>Medida de Braço</t>
  </si>
  <si>
    <t>Medida de Perna</t>
  </si>
  <si>
    <t>Menor Peso</t>
  </si>
  <si>
    <t>Maior Peso</t>
  </si>
  <si>
    <t xml:space="preserve">Diferença </t>
  </si>
  <si>
    <t>Meta</t>
  </si>
  <si>
    <t>Primeira Pesagem</t>
  </si>
  <si>
    <t>MENU</t>
  </si>
  <si>
    <t>Soma de IMC</t>
  </si>
  <si>
    <t>Soma de %Gordura</t>
  </si>
  <si>
    <t>Menor Perna</t>
  </si>
  <si>
    <t>Maior Perna</t>
  </si>
  <si>
    <t>Menor Braço</t>
  </si>
  <si>
    <t>Maior Braço</t>
  </si>
  <si>
    <t>Menor Cintura</t>
  </si>
  <si>
    <t>Maior Cintura</t>
  </si>
  <si>
    <t>Menor Peito</t>
  </si>
  <si>
    <t>Maior Peito</t>
  </si>
  <si>
    <t>Menor Quadril</t>
  </si>
  <si>
    <t>Maior Quadril</t>
  </si>
  <si>
    <t>Menor Pescoço</t>
  </si>
  <si>
    <t>Maior Pescoço</t>
  </si>
  <si>
    <t>Medidas (cm)</t>
  </si>
  <si>
    <t>Indice</t>
  </si>
  <si>
    <t>Calculado</t>
  </si>
  <si>
    <t>Esportista</t>
  </si>
  <si>
    <t>Casual</t>
  </si>
  <si>
    <t>Muito Casual</t>
  </si>
  <si>
    <t>Peso (kg)</t>
  </si>
  <si>
    <t>Indice (%)</t>
  </si>
  <si>
    <t xml:space="preserve">Data Referencia: </t>
  </si>
  <si>
    <t xml:space="preserve">Meta de Peso: </t>
  </si>
  <si>
    <t xml:space="preserve">Indice de Evolução: </t>
  </si>
  <si>
    <t xml:space="preserve">Objetivo: </t>
  </si>
  <si>
    <t>Emagrecer</t>
  </si>
  <si>
    <t>Para Emagrecer</t>
  </si>
  <si>
    <t>Para Engordar</t>
  </si>
  <si>
    <t>Facil</t>
  </si>
  <si>
    <t>Médio</t>
  </si>
  <si>
    <t>Difícil</t>
  </si>
  <si>
    <t>Análise de Meta</t>
  </si>
  <si>
    <t>Data Para Atingir a Meta</t>
  </si>
  <si>
    <t>Estilo</t>
  </si>
  <si>
    <t>Objetivo</t>
  </si>
  <si>
    <r>
      <rPr>
        <b/>
        <sz val="11"/>
        <color theme="1"/>
        <rFont val="Calibri"/>
        <family val="2"/>
        <scheme val="minor"/>
      </rPr>
      <t>Data que atinge a meta</t>
    </r>
    <r>
      <rPr>
        <sz val="11"/>
        <color theme="1"/>
        <rFont val="Calibri"/>
        <family val="2"/>
        <scheme val="minor"/>
      </rPr>
      <t xml:space="preserve">: </t>
    </r>
  </si>
  <si>
    <t>Ultimo IMC</t>
  </si>
  <si>
    <t>Ultima %Grd.</t>
  </si>
  <si>
    <t>Diferença %Grd.</t>
  </si>
  <si>
    <t>Diferença IMC</t>
  </si>
  <si>
    <t>Primeira %Grd.</t>
  </si>
  <si>
    <t>Primeiro IMC</t>
  </si>
  <si>
    <t>Inicio do Acompanhamento</t>
  </si>
  <si>
    <t>Dias Acompanhando</t>
  </si>
  <si>
    <t>Ultima data postada</t>
  </si>
  <si>
    <t>*Aviso: O valor calculado aparece apenas após 30 dias de uso</t>
  </si>
  <si>
    <t>Homens</t>
  </si>
  <si>
    <t>Mulheres</t>
  </si>
  <si>
    <t>Nível de competição</t>
  </si>
  <si>
    <t>Bastante em forma</t>
  </si>
  <si>
    <t>Em forma</t>
  </si>
  <si>
    <t>Média</t>
  </si>
  <si>
    <t>Abaixo da média</t>
  </si>
  <si>
    <t>Precisa de atenção</t>
  </si>
  <si>
    <t>Masculino</t>
  </si>
  <si>
    <t>Gênero</t>
  </si>
  <si>
    <t>*Obrigatório apenas para sexo feminino</t>
  </si>
  <si>
    <t>Classificação</t>
  </si>
  <si>
    <t>Abaixo de 18,5</t>
  </si>
  <si>
    <t>Entre 18,6 e 24,9</t>
  </si>
  <si>
    <t>Entre 25,0 e 29,9</t>
  </si>
  <si>
    <t>Entre 30,0 e 34,9</t>
  </si>
  <si>
    <t>Entre 35,0 e 39,9</t>
  </si>
  <si>
    <t>Acima de 40</t>
  </si>
  <si>
    <t>Abaixo do peso</t>
  </si>
  <si>
    <t>Peso ideal</t>
  </si>
  <si>
    <t>Levemente acima do peso</t>
  </si>
  <si>
    <t>Obesidade Grau I</t>
  </si>
  <si>
    <t>Obesidade Grau II</t>
  </si>
  <si>
    <t>Obesidade Grau III</t>
  </si>
  <si>
    <t>Entre 3% e 6%</t>
  </si>
  <si>
    <t>Menor que 9%</t>
  </si>
  <si>
    <t>Entre 10% e 14%</t>
  </si>
  <si>
    <t>Entre 15% e 19%</t>
  </si>
  <si>
    <t>Entre 20% e 25%</t>
  </si>
  <si>
    <t>Acima de 26%</t>
  </si>
  <si>
    <t>Entre 9% e 12%</t>
  </si>
  <si>
    <t>Menor que 15%</t>
  </si>
  <si>
    <t>Entre 16% e 20%</t>
  </si>
  <si>
    <t>Entre 21% e 25%</t>
  </si>
  <si>
    <t>Entre 26% e 30%</t>
  </si>
  <si>
    <t>Acima de 31%</t>
  </si>
  <si>
    <t>% Gordura Corporal</t>
  </si>
  <si>
    <t>Média %Grd.</t>
  </si>
  <si>
    <t>Média IMC</t>
  </si>
  <si>
    <t>Tempo</t>
  </si>
  <si>
    <t>Meta Peso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</si>
</sst>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000"/>
    <numFmt numFmtId="165" formatCode="0.0%"/>
    <numFmt numFmtId="166" formatCode="0.0000%"/>
    <numFmt numFmtId="167" formatCode="0.0"/>
  </numFmts>
  <fonts count="3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 val="double"/>
      <sz val="14"/>
      <color rgb="FF008080"/>
      <name val="Calibri"/>
      <family val="2"/>
    </font>
    <font>
      <b/>
      <u/>
      <sz val="12"/>
      <color rgb="FF008080"/>
      <name val="Calibri"/>
      <family val="2"/>
    </font>
    <font>
      <sz val="10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12" applyNumberFormat="0" applyFill="0" applyAlignment="0" applyProtection="0"/>
    <xf numFmtId="0" fontId="7" fillId="4" borderId="13" applyNumberFormat="0" applyAlignment="0" applyProtection="0"/>
    <xf numFmtId="0" fontId="29" fillId="0" borderId="21" applyNumberFormat="0" applyFill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</cellStyleXfs>
  <cellXfs count="247">
    <xf numFmtId="0" fontId="0" fillId="0" borderId="0" xfId="0"/>
    <xf numFmtId="14" fontId="0" fillId="0" borderId="0" xfId="0" applyNumberFormat="1"/>
    <xf numFmtId="10" fontId="0" fillId="0" borderId="0" xfId="0" applyNumberFormat="1"/>
    <xf numFmtId="14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166" fontId="0" fillId="0" borderId="0" xfId="0" applyNumberFormat="1"/>
    <xf numFmtId="9" fontId="0" fillId="0" borderId="0" xfId="2" applyFont="1"/>
    <xf numFmtId="0" fontId="0" fillId="0" borderId="0" xfId="0" applyNumberFormat="1"/>
    <xf numFmtId="0" fontId="0" fillId="0" borderId="0" xfId="2" applyNumberFormat="1" applyFont="1"/>
    <xf numFmtId="0" fontId="0" fillId="2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3" fillId="6" borderId="0" xfId="0" applyFont="1" applyFill="1"/>
    <xf numFmtId="164" fontId="10" fillId="6" borderId="0" xfId="0" applyNumberFormat="1" applyFont="1" applyFill="1"/>
    <xf numFmtId="0" fontId="0" fillId="7" borderId="7" xfId="0" applyFill="1" applyBorder="1"/>
    <xf numFmtId="0" fontId="0" fillId="7" borderId="8" xfId="0" applyFill="1" applyBorder="1"/>
    <xf numFmtId="0" fontId="0" fillId="7" borderId="0" xfId="0" applyFill="1" applyBorder="1"/>
    <xf numFmtId="0" fontId="0" fillId="7" borderId="0" xfId="0" applyFill="1" applyBorder="1" applyAlignment="1">
      <alignment horizontal="right"/>
    </xf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0" borderId="0" xfId="0" applyFill="1"/>
    <xf numFmtId="0" fontId="0" fillId="11" borderId="0" xfId="0" applyFill="1"/>
    <xf numFmtId="0" fontId="0" fillId="11" borderId="0" xfId="0" applyFill="1" applyBorder="1"/>
    <xf numFmtId="0" fontId="0" fillId="11" borderId="15" xfId="0" applyFill="1" applyBorder="1"/>
    <xf numFmtId="0" fontId="0" fillId="11" borderId="9" xfId="0" applyFill="1" applyBorder="1"/>
    <xf numFmtId="0" fontId="0" fillId="11" borderId="16" xfId="0" applyFill="1" applyBorder="1"/>
    <xf numFmtId="0" fontId="0" fillId="11" borderId="10" xfId="0" applyFill="1" applyBorder="1"/>
    <xf numFmtId="0" fontId="0" fillId="11" borderId="11" xfId="0" applyFill="1" applyBorder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9" fontId="0" fillId="10" borderId="0" xfId="2" applyFont="1" applyFill="1"/>
    <xf numFmtId="0" fontId="0" fillId="10" borderId="0" xfId="0" applyNumberFormat="1" applyFill="1"/>
    <xf numFmtId="14" fontId="0" fillId="11" borderId="9" xfId="0" applyNumberFormat="1" applyFill="1" applyBorder="1"/>
    <xf numFmtId="1" fontId="0" fillId="11" borderId="0" xfId="0" applyNumberFormat="1" applyFill="1" applyBorder="1"/>
    <xf numFmtId="9" fontId="0" fillId="11" borderId="10" xfId="2" applyFont="1" applyFill="1" applyBorder="1"/>
    <xf numFmtId="9" fontId="0" fillId="11" borderId="11" xfId="2" applyFont="1" applyFill="1" applyBorder="1"/>
    <xf numFmtId="0" fontId="0" fillId="11" borderId="0" xfId="0" applyFill="1" applyBorder="1" applyAlignment="1">
      <alignment horizontal="center"/>
    </xf>
    <xf numFmtId="0" fontId="17" fillId="11" borderId="0" xfId="0" applyFont="1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14" fontId="7" fillId="4" borderId="18" xfId="4" applyNumberFormat="1" applyBorder="1" applyAlignment="1">
      <alignment horizontal="center" vertical="center"/>
    </xf>
    <xf numFmtId="10" fontId="7" fillId="4" borderId="20" xfId="4" applyNumberFormat="1" applyBorder="1" applyAlignment="1">
      <alignment horizontal="center" vertical="center"/>
    </xf>
    <xf numFmtId="167" fontId="7" fillId="4" borderId="19" xfId="4" applyNumberFormat="1" applyBorder="1" applyAlignment="1">
      <alignment horizontal="center" vertical="center"/>
    </xf>
    <xf numFmtId="0" fontId="6" fillId="11" borderId="12" xfId="3" applyFill="1" applyAlignment="1">
      <alignment horizontal="right"/>
    </xf>
    <xf numFmtId="0" fontId="0" fillId="11" borderId="8" xfId="0" applyFill="1" applyBorder="1"/>
    <xf numFmtId="0" fontId="0" fillId="11" borderId="14" xfId="0" applyFill="1" applyBorder="1"/>
    <xf numFmtId="0" fontId="0" fillId="11" borderId="7" xfId="0" applyFill="1" applyBorder="1"/>
    <xf numFmtId="0" fontId="0" fillId="14" borderId="0" xfId="0" applyFill="1" applyBorder="1"/>
    <xf numFmtId="0" fontId="0" fillId="15" borderId="0" xfId="0" applyFill="1" applyBorder="1"/>
    <xf numFmtId="10" fontId="0" fillId="15" borderId="0" xfId="2" applyNumberFormat="1" applyFont="1" applyFill="1" applyBorder="1" applyAlignment="1">
      <alignment horizontal="center"/>
    </xf>
    <xf numFmtId="0" fontId="0" fillId="11" borderId="0" xfId="0" applyFill="1" applyBorder="1" applyAlignment="1">
      <alignment horizontal="right"/>
    </xf>
    <xf numFmtId="0" fontId="0" fillId="11" borderId="0" xfId="0" applyNumberFormat="1" applyFill="1" applyBorder="1"/>
    <xf numFmtId="0" fontId="21" fillId="11" borderId="0" xfId="0" applyFont="1" applyFill="1" applyBorder="1"/>
    <xf numFmtId="0" fontId="21" fillId="11" borderId="0" xfId="0" applyFont="1" applyFill="1"/>
    <xf numFmtId="10" fontId="23" fillId="15" borderId="0" xfId="2" applyNumberFormat="1" applyFont="1" applyFill="1" applyBorder="1" applyAlignment="1">
      <alignment horizontal="center"/>
    </xf>
    <xf numFmtId="14" fontId="0" fillId="10" borderId="0" xfId="0" applyNumberFormat="1" applyFill="1"/>
    <xf numFmtId="2" fontId="0" fillId="10" borderId="0" xfId="0" applyNumberFormat="1" applyFill="1"/>
    <xf numFmtId="10" fontId="0" fillId="10" borderId="0" xfId="2" applyNumberFormat="1" applyFont="1" applyFill="1"/>
    <xf numFmtId="0" fontId="14" fillId="11" borderId="0" xfId="0" applyFont="1" applyFill="1" applyBorder="1" applyAlignment="1">
      <alignment horizontal="center" vertical="center"/>
    </xf>
    <xf numFmtId="0" fontId="18" fillId="11" borderId="0" xfId="0" applyFont="1" applyFill="1" applyBorder="1" applyAlignment="1">
      <alignment horizontal="center" vertical="center" wrapText="1"/>
    </xf>
    <xf numFmtId="0" fontId="0" fillId="3" borderId="0" xfId="0" applyFill="1" applyBorder="1"/>
    <xf numFmtId="0" fontId="0" fillId="19" borderId="1" xfId="0" applyFill="1" applyBorder="1" applyAlignment="1">
      <alignment horizontal="center" vertical="center"/>
    </xf>
    <xf numFmtId="0" fontId="30" fillId="7" borderId="0" xfId="0" applyFont="1" applyFill="1" applyBorder="1"/>
    <xf numFmtId="14" fontId="0" fillId="0" borderId="24" xfId="0" applyNumberFormat="1" applyBorder="1"/>
    <xf numFmtId="0" fontId="0" fillId="0" borderId="25" xfId="0" applyBorder="1" applyProtection="1">
      <protection locked="0"/>
    </xf>
    <xf numFmtId="10" fontId="0" fillId="19" borderId="1" xfId="2" applyNumberFormat="1" applyFont="1" applyFill="1" applyBorder="1" applyAlignment="1" applyProtection="1">
      <alignment horizontal="center"/>
      <protection locked="0"/>
    </xf>
    <xf numFmtId="10" fontId="21" fillId="11" borderId="0" xfId="2" applyNumberFormat="1" applyFont="1" applyFill="1" applyBorder="1" applyAlignment="1">
      <alignment horizontal="center"/>
    </xf>
    <xf numFmtId="0" fontId="0" fillId="11" borderId="26" xfId="0" applyFill="1" applyBorder="1"/>
    <xf numFmtId="14" fontId="0" fillId="0" borderId="1" xfId="0" applyNumberFormat="1" applyBorder="1"/>
    <xf numFmtId="1" fontId="10" fillId="20" borderId="17" xfId="0" applyNumberFormat="1" applyFont="1" applyFill="1" applyBorder="1" applyProtection="1">
      <protection locked="0"/>
    </xf>
    <xf numFmtId="0" fontId="10" fillId="20" borderId="3" xfId="0" applyFont="1" applyFill="1" applyBorder="1"/>
    <xf numFmtId="2" fontId="10" fillId="20" borderId="1" xfId="0" applyNumberFormat="1" applyFont="1" applyFill="1" applyBorder="1" applyAlignment="1" applyProtection="1">
      <alignment horizontal="center"/>
    </xf>
    <xf numFmtId="10" fontId="10" fillId="20" borderId="1" xfId="2" applyNumberFormat="1" applyFont="1" applyFill="1" applyBorder="1" applyAlignment="1" applyProtection="1">
      <alignment horizontal="center"/>
    </xf>
    <xf numFmtId="14" fontId="0" fillId="14" borderId="22" xfId="0" applyNumberFormat="1" applyFill="1" applyBorder="1" applyAlignment="1">
      <alignment vertical="center"/>
    </xf>
    <xf numFmtId="0" fontId="0" fillId="14" borderId="22" xfId="0" applyFill="1" applyBorder="1" applyAlignment="1">
      <alignment vertical="center"/>
    </xf>
    <xf numFmtId="0" fontId="0" fillId="14" borderId="22" xfId="0" applyFill="1" applyBorder="1"/>
    <xf numFmtId="10" fontId="0" fillId="14" borderId="22" xfId="0" applyNumberFormat="1" applyFill="1" applyBorder="1"/>
    <xf numFmtId="14" fontId="0" fillId="3" borderId="0" xfId="0" applyNumberFormat="1" applyFill="1" applyBorder="1"/>
    <xf numFmtId="10" fontId="0" fillId="3" borderId="0" xfId="0" applyNumberFormat="1" applyFill="1" applyBorder="1"/>
    <xf numFmtId="0" fontId="0" fillId="0" borderId="0" xfId="0" applyBorder="1"/>
    <xf numFmtId="167" fontId="0" fillId="3" borderId="0" xfId="0" applyNumberFormat="1" applyFill="1" applyBorder="1"/>
    <xf numFmtId="0" fontId="18" fillId="8" borderId="14" xfId="0" applyFont="1" applyFill="1" applyBorder="1" applyAlignment="1" applyProtection="1">
      <alignment horizontal="center" vertical="center"/>
      <protection locked="0"/>
    </xf>
    <xf numFmtId="0" fontId="18" fillId="8" borderId="7" xfId="0" applyFont="1" applyFill="1" applyBorder="1" applyAlignment="1" applyProtection="1">
      <alignment horizontal="center" vertical="center"/>
      <protection locked="0"/>
    </xf>
    <xf numFmtId="0" fontId="18" fillId="8" borderId="8" xfId="0" applyFont="1" applyFill="1" applyBorder="1" applyAlignment="1" applyProtection="1">
      <alignment horizontal="center" vertical="center"/>
      <protection locked="0"/>
    </xf>
    <xf numFmtId="167" fontId="32" fillId="11" borderId="15" xfId="0" applyNumberFormat="1" applyFont="1" applyFill="1" applyBorder="1" applyAlignment="1" applyProtection="1">
      <alignment horizontal="center" vertical="center"/>
      <protection locked="0"/>
    </xf>
    <xf numFmtId="167" fontId="32" fillId="11" borderId="0" xfId="0" applyNumberFormat="1" applyFont="1" applyFill="1" applyBorder="1" applyAlignment="1" applyProtection="1">
      <alignment horizontal="center" vertical="center"/>
      <protection locked="0"/>
    </xf>
    <xf numFmtId="167" fontId="32" fillId="11" borderId="9" xfId="0" applyNumberFormat="1" applyFont="1" applyFill="1" applyBorder="1" applyAlignment="1" applyProtection="1">
      <alignment horizontal="center" vertical="center"/>
      <protection locked="0"/>
    </xf>
    <xf numFmtId="167" fontId="32" fillId="11" borderId="16" xfId="0" applyNumberFormat="1" applyFont="1" applyFill="1" applyBorder="1" applyAlignment="1" applyProtection="1">
      <alignment horizontal="center" vertical="center"/>
      <protection locked="0"/>
    </xf>
    <xf numFmtId="167" fontId="32" fillId="11" borderId="10" xfId="0" applyNumberFormat="1" applyFont="1" applyFill="1" applyBorder="1" applyAlignment="1" applyProtection="1">
      <alignment horizontal="center" vertical="center"/>
      <protection locked="0"/>
    </xf>
    <xf numFmtId="167" fontId="32" fillId="11" borderId="11" xfId="0" applyNumberFormat="1" applyFont="1" applyFill="1" applyBorder="1" applyAlignment="1" applyProtection="1">
      <alignment horizontal="center" vertical="center"/>
      <protection locked="0"/>
    </xf>
    <xf numFmtId="2" fontId="31" fillId="11" borderId="15" xfId="0" applyNumberFormat="1" applyFont="1" applyFill="1" applyBorder="1" applyAlignment="1" applyProtection="1">
      <alignment horizontal="center" vertical="center"/>
      <protection locked="0"/>
    </xf>
    <xf numFmtId="2" fontId="31" fillId="11" borderId="0" xfId="0" applyNumberFormat="1" applyFont="1" applyFill="1" applyBorder="1" applyAlignment="1" applyProtection="1">
      <alignment horizontal="center" vertical="center"/>
      <protection locked="0"/>
    </xf>
    <xf numFmtId="2" fontId="31" fillId="11" borderId="9" xfId="0" applyNumberFormat="1" applyFont="1" applyFill="1" applyBorder="1" applyAlignment="1" applyProtection="1">
      <alignment horizontal="center" vertical="center"/>
      <protection locked="0"/>
    </xf>
    <xf numFmtId="2" fontId="31" fillId="11" borderId="16" xfId="0" applyNumberFormat="1" applyFont="1" applyFill="1" applyBorder="1" applyAlignment="1" applyProtection="1">
      <alignment horizontal="center" vertical="center"/>
      <protection locked="0"/>
    </xf>
    <xf numFmtId="2" fontId="31" fillId="11" borderId="10" xfId="0" applyNumberFormat="1" applyFont="1" applyFill="1" applyBorder="1" applyAlignment="1" applyProtection="1">
      <alignment horizontal="center" vertical="center"/>
      <protection locked="0"/>
    </xf>
    <xf numFmtId="2" fontId="31" fillId="11" borderId="11" xfId="0" applyNumberFormat="1" applyFont="1" applyFill="1" applyBorder="1" applyAlignment="1" applyProtection="1">
      <alignment horizontal="center" vertical="center"/>
      <protection locked="0"/>
    </xf>
    <xf numFmtId="167" fontId="15" fillId="11" borderId="15" xfId="0" applyNumberFormat="1" applyFont="1" applyFill="1" applyBorder="1" applyAlignment="1" applyProtection="1">
      <alignment horizontal="center" vertical="center"/>
      <protection locked="0"/>
    </xf>
    <xf numFmtId="167" fontId="15" fillId="11" borderId="0" xfId="0" applyNumberFormat="1" applyFont="1" applyFill="1" applyBorder="1" applyAlignment="1" applyProtection="1">
      <alignment horizontal="center" vertical="center"/>
      <protection locked="0"/>
    </xf>
    <xf numFmtId="167" fontId="15" fillId="11" borderId="9" xfId="0" applyNumberFormat="1" applyFont="1" applyFill="1" applyBorder="1" applyAlignment="1" applyProtection="1">
      <alignment horizontal="center" vertical="center"/>
      <protection locked="0"/>
    </xf>
    <xf numFmtId="167" fontId="15" fillId="11" borderId="16" xfId="0" applyNumberFormat="1" applyFont="1" applyFill="1" applyBorder="1" applyAlignment="1" applyProtection="1">
      <alignment horizontal="center" vertical="center"/>
      <protection locked="0"/>
    </xf>
    <xf numFmtId="167" fontId="15" fillId="11" borderId="10" xfId="0" applyNumberFormat="1" applyFont="1" applyFill="1" applyBorder="1" applyAlignment="1" applyProtection="1">
      <alignment horizontal="center" vertical="center"/>
      <protection locked="0"/>
    </xf>
    <xf numFmtId="167" fontId="15" fillId="11" borderId="11" xfId="0" applyNumberFormat="1" applyFont="1" applyFill="1" applyBorder="1" applyAlignment="1" applyProtection="1">
      <alignment horizontal="center" vertical="center"/>
      <protection locked="0"/>
    </xf>
    <xf numFmtId="1" fontId="16" fillId="11" borderId="15" xfId="0" applyNumberFormat="1" applyFont="1" applyFill="1" applyBorder="1" applyAlignment="1" applyProtection="1">
      <alignment horizontal="center" vertical="center"/>
      <protection locked="0"/>
    </xf>
    <xf numFmtId="1" fontId="16" fillId="11" borderId="0" xfId="0" applyNumberFormat="1" applyFont="1" applyFill="1" applyBorder="1" applyAlignment="1" applyProtection="1">
      <alignment horizontal="center" vertical="center"/>
      <protection locked="0"/>
    </xf>
    <xf numFmtId="1" fontId="16" fillId="11" borderId="9" xfId="0" applyNumberFormat="1" applyFont="1" applyFill="1" applyBorder="1" applyAlignment="1" applyProtection="1">
      <alignment horizontal="center" vertical="center"/>
      <protection locked="0"/>
    </xf>
    <xf numFmtId="1" fontId="16" fillId="11" borderId="16" xfId="0" applyNumberFormat="1" applyFont="1" applyFill="1" applyBorder="1" applyAlignment="1" applyProtection="1">
      <alignment horizontal="center" vertical="center"/>
      <protection locked="0"/>
    </xf>
    <xf numFmtId="1" fontId="16" fillId="11" borderId="10" xfId="0" applyNumberFormat="1" applyFont="1" applyFill="1" applyBorder="1" applyAlignment="1" applyProtection="1">
      <alignment horizontal="center" vertical="center"/>
      <protection locked="0"/>
    </xf>
    <xf numFmtId="1" fontId="16" fillId="11" borderId="11" xfId="0" applyNumberFormat="1" applyFont="1" applyFill="1" applyBorder="1" applyAlignment="1" applyProtection="1">
      <alignment horizontal="center" vertical="center"/>
      <protection locked="0"/>
    </xf>
    <xf numFmtId="165" fontId="15" fillId="11" borderId="15" xfId="2" applyNumberFormat="1" applyFont="1" applyFill="1" applyBorder="1" applyAlignment="1" applyProtection="1">
      <alignment horizontal="center" vertical="center"/>
      <protection locked="0"/>
    </xf>
    <xf numFmtId="165" fontId="15" fillId="11" borderId="0" xfId="2" applyNumberFormat="1" applyFont="1" applyFill="1" applyBorder="1" applyAlignment="1" applyProtection="1">
      <alignment horizontal="center" vertical="center"/>
      <protection locked="0"/>
    </xf>
    <xf numFmtId="165" fontId="15" fillId="11" borderId="9" xfId="2" applyNumberFormat="1" applyFont="1" applyFill="1" applyBorder="1" applyAlignment="1" applyProtection="1">
      <alignment horizontal="center" vertical="center"/>
      <protection locked="0"/>
    </xf>
    <xf numFmtId="165" fontId="15" fillId="11" borderId="16" xfId="2" applyNumberFormat="1" applyFont="1" applyFill="1" applyBorder="1" applyAlignment="1" applyProtection="1">
      <alignment horizontal="center" vertical="center"/>
      <protection locked="0"/>
    </xf>
    <xf numFmtId="165" fontId="15" fillId="11" borderId="10" xfId="2" applyNumberFormat="1" applyFont="1" applyFill="1" applyBorder="1" applyAlignment="1" applyProtection="1">
      <alignment horizontal="center" vertical="center"/>
      <protection locked="0"/>
    </xf>
    <xf numFmtId="165" fontId="15" fillId="11" borderId="11" xfId="2" applyNumberFormat="1" applyFont="1" applyFill="1" applyBorder="1" applyAlignment="1" applyProtection="1">
      <alignment horizontal="center" vertical="center"/>
      <protection locked="0"/>
    </xf>
    <xf numFmtId="10" fontId="18" fillId="8" borderId="14" xfId="0" applyNumberFormat="1" applyFont="1" applyFill="1" applyBorder="1" applyAlignment="1" applyProtection="1">
      <alignment horizontal="center" vertical="center"/>
      <protection locked="0"/>
    </xf>
    <xf numFmtId="0" fontId="20" fillId="8" borderId="14" xfId="0" applyFont="1" applyFill="1" applyBorder="1" applyAlignment="1" applyProtection="1">
      <alignment horizontal="center" vertical="center" wrapText="1"/>
      <protection locked="0"/>
    </xf>
    <xf numFmtId="0" fontId="20" fillId="8" borderId="7" xfId="0" applyFont="1" applyFill="1" applyBorder="1" applyAlignment="1" applyProtection="1">
      <alignment horizontal="center" vertical="center" wrapText="1"/>
      <protection locked="0"/>
    </xf>
    <xf numFmtId="0" fontId="20" fillId="8" borderId="8" xfId="0" applyFont="1" applyFill="1" applyBorder="1" applyAlignment="1" applyProtection="1">
      <alignment horizontal="center" vertical="center" wrapText="1"/>
      <protection locked="0"/>
    </xf>
    <xf numFmtId="14" fontId="12" fillId="11" borderId="15" xfId="0" applyNumberFormat="1" applyFont="1" applyFill="1" applyBorder="1" applyAlignment="1" applyProtection="1">
      <alignment horizontal="center" vertical="center"/>
      <protection locked="0"/>
    </xf>
    <xf numFmtId="14" fontId="12" fillId="11" borderId="0" xfId="0" applyNumberFormat="1" applyFont="1" applyFill="1" applyBorder="1" applyAlignment="1" applyProtection="1">
      <alignment horizontal="center" vertical="center"/>
      <protection locked="0"/>
    </xf>
    <xf numFmtId="14" fontId="12" fillId="11" borderId="9" xfId="0" applyNumberFormat="1" applyFont="1" applyFill="1" applyBorder="1" applyAlignment="1" applyProtection="1">
      <alignment horizontal="center" vertical="center"/>
      <protection locked="0"/>
    </xf>
    <xf numFmtId="14" fontId="12" fillId="11" borderId="16" xfId="0" applyNumberFormat="1" applyFont="1" applyFill="1" applyBorder="1" applyAlignment="1" applyProtection="1">
      <alignment horizontal="center" vertical="center"/>
      <protection locked="0"/>
    </xf>
    <xf numFmtId="14" fontId="12" fillId="11" borderId="10" xfId="0" applyNumberFormat="1" applyFont="1" applyFill="1" applyBorder="1" applyAlignment="1" applyProtection="1">
      <alignment horizontal="center" vertical="center"/>
      <protection locked="0"/>
    </xf>
    <xf numFmtId="14" fontId="12" fillId="11" borderId="11" xfId="0" applyNumberFormat="1" applyFont="1" applyFill="1" applyBorder="1" applyAlignment="1" applyProtection="1">
      <alignment horizontal="center" vertical="center"/>
      <protection locked="0"/>
    </xf>
    <xf numFmtId="0" fontId="9" fillId="8" borderId="14" xfId="0" applyFont="1" applyFill="1" applyBorder="1" applyAlignment="1" applyProtection="1">
      <alignment horizontal="center" vertical="center"/>
      <protection locked="0"/>
    </xf>
    <xf numFmtId="0" fontId="9" fillId="8" borderId="7" xfId="0" applyFont="1" applyFill="1" applyBorder="1" applyAlignment="1" applyProtection="1">
      <alignment horizontal="center" vertical="center"/>
      <protection locked="0"/>
    </xf>
    <xf numFmtId="0" fontId="9" fillId="8" borderId="8" xfId="0" applyFont="1" applyFill="1" applyBorder="1" applyAlignment="1" applyProtection="1">
      <alignment horizontal="center" vertical="center"/>
      <protection locked="0"/>
    </xf>
    <xf numFmtId="165" fontId="31" fillId="11" borderId="15" xfId="2" applyNumberFormat="1" applyFont="1" applyFill="1" applyBorder="1" applyAlignment="1" applyProtection="1">
      <alignment horizontal="center" vertical="center"/>
      <protection locked="0"/>
    </xf>
    <xf numFmtId="165" fontId="31" fillId="11" borderId="0" xfId="2" applyNumberFormat="1" applyFont="1" applyFill="1" applyBorder="1" applyAlignment="1" applyProtection="1">
      <alignment horizontal="center" vertical="center"/>
      <protection locked="0"/>
    </xf>
    <xf numFmtId="165" fontId="31" fillId="11" borderId="9" xfId="2" applyNumberFormat="1" applyFont="1" applyFill="1" applyBorder="1" applyAlignment="1" applyProtection="1">
      <alignment horizontal="center" vertical="center"/>
      <protection locked="0"/>
    </xf>
    <xf numFmtId="165" fontId="31" fillId="11" borderId="16" xfId="2" applyNumberFormat="1" applyFont="1" applyFill="1" applyBorder="1" applyAlignment="1" applyProtection="1">
      <alignment horizontal="center" vertical="center"/>
      <protection locked="0"/>
    </xf>
    <xf numFmtId="165" fontId="31" fillId="11" borderId="10" xfId="2" applyNumberFormat="1" applyFont="1" applyFill="1" applyBorder="1" applyAlignment="1" applyProtection="1">
      <alignment horizontal="center" vertical="center"/>
      <protection locked="0"/>
    </xf>
    <xf numFmtId="165" fontId="31" fillId="11" borderId="11" xfId="2" applyNumberFormat="1" applyFont="1" applyFill="1" applyBorder="1" applyAlignment="1" applyProtection="1">
      <alignment horizontal="center" vertical="center"/>
      <protection locked="0"/>
    </xf>
    <xf numFmtId="0" fontId="24" fillId="11" borderId="14" xfId="0" applyFont="1" applyFill="1" applyBorder="1" applyAlignment="1">
      <alignment horizontal="center" vertical="center" textRotation="90" wrapText="1"/>
    </xf>
    <xf numFmtId="0" fontId="24" fillId="11" borderId="7" xfId="0" applyFont="1" applyFill="1" applyBorder="1" applyAlignment="1">
      <alignment horizontal="center" vertical="center" textRotation="90" wrapText="1"/>
    </xf>
    <xf numFmtId="0" fontId="24" fillId="11" borderId="8" xfId="0" applyFont="1" applyFill="1" applyBorder="1" applyAlignment="1">
      <alignment horizontal="center" vertical="center" textRotation="90" wrapText="1"/>
    </xf>
    <xf numFmtId="0" fontId="24" fillId="11" borderId="15" xfId="0" applyFont="1" applyFill="1" applyBorder="1" applyAlignment="1">
      <alignment horizontal="center" vertical="center" textRotation="90" wrapText="1"/>
    </xf>
    <xf numFmtId="0" fontId="24" fillId="11" borderId="0" xfId="0" applyFont="1" applyFill="1" applyBorder="1" applyAlignment="1">
      <alignment horizontal="center" vertical="center" textRotation="90" wrapText="1"/>
    </xf>
    <xf numFmtId="0" fontId="24" fillId="11" borderId="9" xfId="0" applyFont="1" applyFill="1" applyBorder="1" applyAlignment="1">
      <alignment horizontal="center" vertical="center" textRotation="90" wrapText="1"/>
    </xf>
    <xf numFmtId="0" fontId="24" fillId="11" borderId="16" xfId="0" applyFont="1" applyFill="1" applyBorder="1" applyAlignment="1">
      <alignment horizontal="center" vertical="center" textRotation="90" wrapText="1"/>
    </xf>
    <xf numFmtId="0" fontId="24" fillId="11" borderId="10" xfId="0" applyFont="1" applyFill="1" applyBorder="1" applyAlignment="1">
      <alignment horizontal="center" vertical="center" textRotation="90" wrapText="1"/>
    </xf>
    <xf numFmtId="0" fontId="24" fillId="11" borderId="11" xfId="0" applyFont="1" applyFill="1" applyBorder="1" applyAlignment="1">
      <alignment horizontal="center" vertical="center" textRotation="90" wrapText="1"/>
    </xf>
    <xf numFmtId="0" fontId="5" fillId="18" borderId="31" xfId="7" applyBorder="1" applyAlignment="1">
      <alignment horizontal="center" vertical="center"/>
    </xf>
    <xf numFmtId="0" fontId="5" fillId="18" borderId="32" xfId="7" applyBorder="1" applyAlignment="1">
      <alignment horizontal="center" vertical="center"/>
    </xf>
    <xf numFmtId="0" fontId="29" fillId="11" borderId="27" xfId="5" applyFill="1" applyBorder="1" applyAlignment="1">
      <alignment horizontal="center" vertical="center"/>
    </xf>
    <xf numFmtId="0" fontId="29" fillId="11" borderId="28" xfId="5" applyFill="1" applyBorder="1" applyAlignment="1">
      <alignment horizontal="center" vertical="center"/>
    </xf>
    <xf numFmtId="0" fontId="29" fillId="11" borderId="40" xfId="5" applyFill="1" applyBorder="1" applyAlignment="1">
      <alignment horizontal="center" vertical="center"/>
    </xf>
    <xf numFmtId="0" fontId="29" fillId="11" borderId="41" xfId="5" applyFill="1" applyBorder="1" applyAlignment="1">
      <alignment horizontal="center" vertical="center"/>
    </xf>
    <xf numFmtId="0" fontId="29" fillId="11" borderId="42" xfId="5" applyFill="1" applyBorder="1" applyAlignment="1">
      <alignment horizontal="center" vertical="center"/>
    </xf>
    <xf numFmtId="0" fontId="5" fillId="17" borderId="33" xfId="6" applyBorder="1" applyAlignment="1">
      <alignment horizontal="center" vertical="center"/>
    </xf>
    <xf numFmtId="0" fontId="5" fillId="17" borderId="34" xfId="6" applyBorder="1" applyAlignment="1">
      <alignment horizontal="center" vertical="center"/>
    </xf>
    <xf numFmtId="0" fontId="5" fillId="17" borderId="23" xfId="6" applyBorder="1" applyAlignment="1">
      <alignment horizontal="center" vertical="center"/>
    </xf>
    <xf numFmtId="0" fontId="5" fillId="17" borderId="35" xfId="6" applyBorder="1" applyAlignment="1">
      <alignment horizontal="center" vertical="center"/>
    </xf>
    <xf numFmtId="0" fontId="5" fillId="17" borderId="43" xfId="6" applyBorder="1" applyAlignment="1">
      <alignment horizontal="center" vertical="center"/>
    </xf>
    <xf numFmtId="0" fontId="5" fillId="18" borderId="33" xfId="7" applyBorder="1" applyAlignment="1">
      <alignment horizontal="center" vertical="center"/>
    </xf>
    <xf numFmtId="0" fontId="5" fillId="18" borderId="34" xfId="7" applyBorder="1" applyAlignment="1">
      <alignment horizontal="center" vertical="center"/>
    </xf>
    <xf numFmtId="0" fontId="5" fillId="18" borderId="23" xfId="7" applyBorder="1" applyAlignment="1">
      <alignment horizontal="center" vertical="center"/>
    </xf>
    <xf numFmtId="0" fontId="5" fillId="18" borderId="35" xfId="7" applyBorder="1" applyAlignment="1">
      <alignment horizontal="center" vertical="center"/>
    </xf>
    <xf numFmtId="0" fontId="5" fillId="18" borderId="43" xfId="7" applyBorder="1" applyAlignment="1">
      <alignment horizontal="center" vertical="center"/>
    </xf>
    <xf numFmtId="0" fontId="5" fillId="18" borderId="39" xfId="7" applyBorder="1" applyAlignment="1">
      <alignment horizontal="center" vertical="center"/>
    </xf>
    <xf numFmtId="0" fontId="5" fillId="18" borderId="37" xfId="7" applyBorder="1" applyAlignment="1">
      <alignment horizontal="center" vertical="center"/>
    </xf>
    <xf numFmtId="0" fontId="5" fillId="18" borderId="38" xfId="7" applyBorder="1" applyAlignment="1">
      <alignment horizontal="center" vertical="center"/>
    </xf>
    <xf numFmtId="0" fontId="5" fillId="18" borderId="36" xfId="7" applyBorder="1" applyAlignment="1">
      <alignment horizontal="center" vertical="center"/>
    </xf>
    <xf numFmtId="0" fontId="5" fillId="18" borderId="44" xfId="7" applyBorder="1" applyAlignment="1">
      <alignment horizontal="center" vertical="center"/>
    </xf>
    <xf numFmtId="0" fontId="5" fillId="17" borderId="22" xfId="6" applyBorder="1" applyAlignment="1">
      <alignment horizontal="center" vertical="center"/>
    </xf>
    <xf numFmtId="0" fontId="5" fillId="17" borderId="30" xfId="6" applyBorder="1" applyAlignment="1">
      <alignment horizontal="center" vertical="center"/>
    </xf>
    <xf numFmtId="0" fontId="5" fillId="18" borderId="22" xfId="7" applyBorder="1" applyAlignment="1">
      <alignment horizontal="center" vertical="center"/>
    </xf>
    <xf numFmtId="0" fontId="5" fillId="18" borderId="30" xfId="7" applyBorder="1" applyAlignment="1">
      <alignment horizontal="center" vertical="center"/>
    </xf>
    <xf numFmtId="0" fontId="29" fillId="11" borderId="29" xfId="5" applyFill="1" applyBorder="1" applyAlignment="1">
      <alignment horizontal="center" vertical="center"/>
    </xf>
    <xf numFmtId="0" fontId="14" fillId="8" borderId="15" xfId="0" applyFont="1" applyFill="1" applyBorder="1" applyAlignment="1" applyProtection="1">
      <alignment horizontal="center" vertical="center"/>
      <protection locked="0"/>
    </xf>
    <xf numFmtId="0" fontId="14" fillId="8" borderId="0" xfId="0" applyFont="1" applyFill="1" applyBorder="1" applyAlignment="1" applyProtection="1">
      <alignment horizontal="center" vertical="center"/>
      <protection locked="0"/>
    </xf>
    <xf numFmtId="0" fontId="14" fillId="8" borderId="9" xfId="0" applyFont="1" applyFill="1" applyBorder="1" applyAlignment="1" applyProtection="1">
      <alignment horizontal="center" vertical="center"/>
      <protection locked="0"/>
    </xf>
    <xf numFmtId="2" fontId="15" fillId="11" borderId="15" xfId="1" applyNumberFormat="1" applyFont="1" applyFill="1" applyBorder="1" applyAlignment="1" applyProtection="1">
      <alignment horizontal="center" vertical="center"/>
      <protection locked="0"/>
    </xf>
    <xf numFmtId="2" fontId="15" fillId="11" borderId="0" xfId="1" applyNumberFormat="1" applyFont="1" applyFill="1" applyBorder="1" applyAlignment="1" applyProtection="1">
      <alignment horizontal="center" vertical="center"/>
      <protection locked="0"/>
    </xf>
    <xf numFmtId="2" fontId="15" fillId="11" borderId="9" xfId="1" applyNumberFormat="1" applyFont="1" applyFill="1" applyBorder="1" applyAlignment="1" applyProtection="1">
      <alignment horizontal="center" vertical="center"/>
      <protection locked="0"/>
    </xf>
    <xf numFmtId="2" fontId="15" fillId="11" borderId="16" xfId="1" applyNumberFormat="1" applyFont="1" applyFill="1" applyBorder="1" applyAlignment="1" applyProtection="1">
      <alignment horizontal="center" vertical="center"/>
      <protection locked="0"/>
    </xf>
    <xf numFmtId="2" fontId="15" fillId="11" borderId="10" xfId="1" applyNumberFormat="1" applyFont="1" applyFill="1" applyBorder="1" applyAlignment="1" applyProtection="1">
      <alignment horizontal="center" vertical="center"/>
      <protection locked="0"/>
    </xf>
    <xf numFmtId="2" fontId="15" fillId="11" borderId="11" xfId="1" applyNumberFormat="1" applyFont="1" applyFill="1" applyBorder="1" applyAlignment="1" applyProtection="1">
      <alignment horizontal="center" vertical="center"/>
      <protection locked="0"/>
    </xf>
    <xf numFmtId="0" fontId="14" fillId="8" borderId="14" xfId="0" applyFont="1" applyFill="1" applyBorder="1" applyAlignment="1" applyProtection="1">
      <alignment horizontal="center" vertical="center"/>
      <protection locked="0"/>
    </xf>
    <xf numFmtId="0" fontId="14" fillId="8" borderId="7" xfId="0" applyFont="1" applyFill="1" applyBorder="1" applyAlignment="1" applyProtection="1">
      <alignment horizontal="center" vertical="center"/>
      <protection locked="0"/>
    </xf>
    <xf numFmtId="0" fontId="14" fillId="8" borderId="8" xfId="0" applyFont="1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9" xfId="0" applyFill="1" applyBorder="1" applyAlignment="1">
      <alignment horizontal="center"/>
    </xf>
    <xf numFmtId="0" fontId="24" fillId="11" borderId="14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24" fillId="11" borderId="8" xfId="0" applyFont="1" applyFill="1" applyBorder="1" applyAlignment="1">
      <alignment horizontal="center" vertical="center"/>
    </xf>
    <xf numFmtId="0" fontId="24" fillId="11" borderId="16" xfId="0" applyFont="1" applyFill="1" applyBorder="1" applyAlignment="1">
      <alignment horizontal="center" vertical="center"/>
    </xf>
    <xf numFmtId="0" fontId="24" fillId="11" borderId="10" xfId="0" applyFont="1" applyFill="1" applyBorder="1" applyAlignment="1">
      <alignment horizontal="center" vertical="center"/>
    </xf>
    <xf numFmtId="0" fontId="24" fillId="11" borderId="11" xfId="0" applyFont="1" applyFill="1" applyBorder="1" applyAlignment="1">
      <alignment horizontal="center" vertical="center"/>
    </xf>
    <xf numFmtId="0" fontId="17" fillId="11" borderId="15" xfId="0" applyFont="1" applyFill="1" applyBorder="1" applyAlignment="1" applyProtection="1">
      <alignment horizontal="center" vertical="center"/>
      <protection locked="0"/>
    </xf>
    <xf numFmtId="0" fontId="17" fillId="11" borderId="0" xfId="0" applyFont="1" applyFill="1" applyBorder="1" applyAlignment="1" applyProtection="1">
      <alignment horizontal="center" vertical="center"/>
      <protection locked="0"/>
    </xf>
    <xf numFmtId="0" fontId="17" fillId="11" borderId="9" xfId="0" applyFont="1" applyFill="1" applyBorder="1" applyAlignment="1" applyProtection="1">
      <alignment horizontal="center" vertical="center"/>
      <protection locked="0"/>
    </xf>
    <xf numFmtId="0" fontId="17" fillId="11" borderId="16" xfId="0" applyFont="1" applyFill="1" applyBorder="1" applyAlignment="1" applyProtection="1">
      <alignment horizontal="center" vertical="center"/>
      <protection locked="0"/>
    </xf>
    <xf numFmtId="0" fontId="17" fillId="11" borderId="10" xfId="0" applyFont="1" applyFill="1" applyBorder="1" applyAlignment="1" applyProtection="1">
      <alignment horizontal="center" vertical="center"/>
      <protection locked="0"/>
    </xf>
    <xf numFmtId="0" fontId="17" fillId="11" borderId="11" xfId="0" applyFont="1" applyFill="1" applyBorder="1" applyAlignment="1" applyProtection="1">
      <alignment horizontal="center" vertical="center"/>
      <protection locked="0"/>
    </xf>
    <xf numFmtId="0" fontId="18" fillId="8" borderId="14" xfId="0" applyFont="1" applyFill="1" applyBorder="1" applyAlignment="1" applyProtection="1">
      <alignment horizontal="center" vertical="center" wrapText="1"/>
      <protection locked="0"/>
    </xf>
    <xf numFmtId="0" fontId="18" fillId="8" borderId="7" xfId="0" applyFont="1" applyFill="1" applyBorder="1" applyAlignment="1" applyProtection="1">
      <alignment horizontal="center" vertical="center" wrapText="1"/>
      <protection locked="0"/>
    </xf>
    <xf numFmtId="0" fontId="18" fillId="8" borderId="8" xfId="0" applyFont="1" applyFill="1" applyBorder="1" applyAlignment="1" applyProtection="1">
      <alignment horizontal="center" vertical="center" wrapText="1"/>
      <protection locked="0"/>
    </xf>
    <xf numFmtId="0" fontId="22" fillId="12" borderId="0" xfId="0" applyFont="1" applyFill="1" applyAlignment="1">
      <alignment horizontal="center" vertical="center" textRotation="90" wrapText="1"/>
    </xf>
    <xf numFmtId="0" fontId="17" fillId="12" borderId="0" xfId="0" applyFont="1" applyFill="1" applyAlignment="1">
      <alignment horizontal="center" vertical="center" textRotation="90" wrapText="1"/>
    </xf>
    <xf numFmtId="2" fontId="16" fillId="11" borderId="15" xfId="1" applyNumberFormat="1" applyFont="1" applyFill="1" applyBorder="1" applyAlignment="1" applyProtection="1">
      <alignment horizontal="center" vertical="center"/>
      <protection locked="0"/>
    </xf>
    <xf numFmtId="2" fontId="16" fillId="11" borderId="0" xfId="1" applyNumberFormat="1" applyFont="1" applyFill="1" applyBorder="1" applyAlignment="1" applyProtection="1">
      <alignment horizontal="center" vertical="center"/>
      <protection locked="0"/>
    </xf>
    <xf numFmtId="2" fontId="16" fillId="11" borderId="9" xfId="1" applyNumberFormat="1" applyFont="1" applyFill="1" applyBorder="1" applyAlignment="1" applyProtection="1">
      <alignment horizontal="center" vertical="center"/>
      <protection locked="0"/>
    </xf>
    <xf numFmtId="2" fontId="16" fillId="11" borderId="16" xfId="1" applyNumberFormat="1" applyFont="1" applyFill="1" applyBorder="1" applyAlignment="1" applyProtection="1">
      <alignment horizontal="center" vertical="center"/>
      <protection locked="0"/>
    </xf>
    <xf numFmtId="2" fontId="16" fillId="11" borderId="10" xfId="1" applyNumberFormat="1" applyFont="1" applyFill="1" applyBorder="1" applyAlignment="1" applyProtection="1">
      <alignment horizontal="center" vertical="center"/>
      <protection locked="0"/>
    </xf>
    <xf numFmtId="2" fontId="16" fillId="11" borderId="11" xfId="1" applyNumberFormat="1" applyFont="1" applyFill="1" applyBorder="1" applyAlignment="1" applyProtection="1">
      <alignment horizontal="center" vertical="center"/>
      <protection locked="0"/>
    </xf>
    <xf numFmtId="14" fontId="15" fillId="11" borderId="15" xfId="1" applyNumberFormat="1" applyFont="1" applyFill="1" applyBorder="1" applyAlignment="1" applyProtection="1">
      <alignment horizontal="center" vertical="center" wrapText="1"/>
      <protection locked="0"/>
    </xf>
    <xf numFmtId="14" fontId="15" fillId="11" borderId="0" xfId="1" applyNumberFormat="1" applyFont="1" applyFill="1" applyBorder="1" applyAlignment="1" applyProtection="1">
      <alignment horizontal="center" vertical="center" wrapText="1"/>
      <protection locked="0"/>
    </xf>
    <xf numFmtId="14" fontId="15" fillId="11" borderId="9" xfId="1" applyNumberFormat="1" applyFont="1" applyFill="1" applyBorder="1" applyAlignment="1" applyProtection="1">
      <alignment horizontal="center" vertical="center" wrapText="1"/>
      <protection locked="0"/>
    </xf>
    <xf numFmtId="14" fontId="15" fillId="11" borderId="16" xfId="1" applyNumberFormat="1" applyFont="1" applyFill="1" applyBorder="1" applyAlignment="1" applyProtection="1">
      <alignment horizontal="center" vertical="center" wrapText="1"/>
      <protection locked="0"/>
    </xf>
    <xf numFmtId="14" fontId="15" fillId="11" borderId="10" xfId="1" applyNumberFormat="1" applyFont="1" applyFill="1" applyBorder="1" applyAlignment="1" applyProtection="1">
      <alignment horizontal="center" vertical="center" wrapText="1"/>
      <protection locked="0"/>
    </xf>
    <xf numFmtId="14" fontId="15" fillId="11" borderId="11" xfId="1" applyNumberFormat="1" applyFont="1" applyFill="1" applyBorder="1" applyAlignment="1" applyProtection="1">
      <alignment horizontal="center" vertical="center" wrapText="1"/>
      <protection locked="0"/>
    </xf>
    <xf numFmtId="0" fontId="19" fillId="10" borderId="14" xfId="0" applyFont="1" applyFill="1" applyBorder="1" applyAlignment="1">
      <alignment horizontal="center"/>
    </xf>
    <xf numFmtId="0" fontId="19" fillId="10" borderId="7" xfId="0" applyFont="1" applyFill="1" applyBorder="1" applyAlignment="1">
      <alignment horizontal="center"/>
    </xf>
    <xf numFmtId="0" fontId="19" fillId="10" borderId="8" xfId="0" applyFont="1" applyFill="1" applyBorder="1" applyAlignment="1">
      <alignment horizontal="center"/>
    </xf>
    <xf numFmtId="0" fontId="19" fillId="10" borderId="16" xfId="0" applyFont="1" applyFill="1" applyBorder="1" applyAlignment="1">
      <alignment horizontal="center"/>
    </xf>
    <xf numFmtId="0" fontId="19" fillId="10" borderId="10" xfId="0" applyFont="1" applyFill="1" applyBorder="1" applyAlignment="1">
      <alignment horizontal="center"/>
    </xf>
    <xf numFmtId="0" fontId="19" fillId="10" borderId="11" xfId="0" applyFont="1" applyFill="1" applyBorder="1" applyAlignment="1">
      <alignment horizontal="center"/>
    </xf>
    <xf numFmtId="14" fontId="10" fillId="16" borderId="17" xfId="0" applyNumberFormat="1" applyFont="1" applyFill="1" applyBorder="1" applyAlignment="1">
      <alignment horizontal="center"/>
    </xf>
    <xf numFmtId="14" fontId="10" fillId="16" borderId="3" xfId="0" applyNumberFormat="1" applyFont="1" applyFill="1" applyBorder="1" applyAlignment="1">
      <alignment horizontal="center"/>
    </xf>
    <xf numFmtId="14" fontId="8" fillId="11" borderId="0" xfId="0" applyNumberFormat="1" applyFont="1" applyFill="1" applyBorder="1" applyAlignment="1">
      <alignment horizontal="center"/>
    </xf>
    <xf numFmtId="0" fontId="0" fillId="11" borderId="0" xfId="0" applyFill="1" applyBorder="1" applyAlignment="1">
      <alignment horizontal="right"/>
    </xf>
    <xf numFmtId="0" fontId="0" fillId="11" borderId="9" xfId="0" applyFill="1" applyBorder="1" applyAlignment="1">
      <alignment horizontal="right"/>
    </xf>
    <xf numFmtId="0" fontId="25" fillId="11" borderId="0" xfId="0" applyFont="1" applyFill="1" applyAlignment="1">
      <alignment horizontal="center"/>
    </xf>
    <xf numFmtId="0" fontId="0" fillId="11" borderId="15" xfId="0" applyFill="1" applyBorder="1" applyAlignment="1">
      <alignment horizontal="right"/>
    </xf>
    <xf numFmtId="0" fontId="1" fillId="9" borderId="4" xfId="0" applyFont="1" applyFill="1" applyBorder="1" applyAlignment="1">
      <alignment horizontal="center" vertical="center" textRotation="90"/>
    </xf>
    <xf numFmtId="0" fontId="1" fillId="9" borderId="5" xfId="0" applyFont="1" applyFill="1" applyBorder="1" applyAlignment="1">
      <alignment horizontal="center" vertical="center" textRotation="90"/>
    </xf>
    <xf numFmtId="0" fontId="1" fillId="9" borderId="6" xfId="0" applyFont="1" applyFill="1" applyBorder="1" applyAlignment="1">
      <alignment horizontal="center" vertical="center" textRotation="90"/>
    </xf>
    <xf numFmtId="0" fontId="11" fillId="8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5" fillId="7" borderId="0" xfId="0" applyFont="1" applyFill="1" applyBorder="1" applyAlignment="1">
      <alignment horizontal="center"/>
    </xf>
    <xf numFmtId="0" fontId="13" fillId="9" borderId="14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/>
    </xf>
    <xf numFmtId="0" fontId="13" fillId="9" borderId="10" xfId="0" applyFont="1" applyFill="1" applyBorder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14" fontId="10" fillId="20" borderId="17" xfId="0" applyNumberFormat="1" applyFont="1" applyFill="1" applyBorder="1" applyAlignment="1">
      <alignment horizontal="center"/>
    </xf>
    <xf numFmtId="14" fontId="10" fillId="20" borderId="3" xfId="0" applyNumberFormat="1" applyFont="1" applyFill="1" applyBorder="1" applyAlignment="1">
      <alignment horizontal="center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</cellXfs>
  <cellStyles count="8">
    <cellStyle name="20% - Ênfase1" xfId="6" builtinId="30"/>
    <cellStyle name="40% - Ênfase5" xfId="7" builtinId="47"/>
    <cellStyle name="Cálculo" xfId="4" builtinId="22"/>
    <cellStyle name="Normal" xfId="0" builtinId="0"/>
    <cellStyle name="Porcentagem" xfId="2" builtinId="5"/>
    <cellStyle name="Título 1" xfId="5" builtinId="16"/>
    <cellStyle name="Título 2" xfId="3" builtinId="17"/>
    <cellStyle name="Vírgula" xfId="1" builtinId="3"/>
  </cellStyles>
  <dxfs count="5"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colors>
    <mruColors>
      <color rgb="FFFFEFFF"/>
      <color rgb="FFFFCCFF"/>
      <color rgb="FFF9E1FB"/>
      <color rgb="FFF2B8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[Evolução Academia.xlsm]Dados Dashboard!Tabela dinâmica3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Variação do Peso por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'Dados Dashboard'!$B$1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'Dados Dashboard'!$A$2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Dashboard'!$B$2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54-46E9-BC91-D30030BCD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188624"/>
        <c:axId val="512185344"/>
      </c:lineChart>
      <c:catAx>
        <c:axId val="51218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185344"/>
        <c:crosses val="autoZero"/>
        <c:auto val="1"/>
        <c:lblAlgn val="ctr"/>
        <c:lblOffset val="100"/>
        <c:noMultiLvlLbl val="0"/>
      </c:catAx>
      <c:valAx>
        <c:axId val="512185344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Peso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18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/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[Evolução Academia.xlsm]Dados Dashboard!Tabela dinâmica4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Variação</a:t>
            </a:r>
            <a:r>
              <a:rPr lang="pt-BR" baseline="0"/>
              <a:t> de Medidas por Data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'Dados Dashboard'!$E$1</c:f>
              <c:strCache>
                <c:ptCount val="1"/>
                <c:pt idx="0">
                  <c:v>Medida de Perna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Dashboard'!$D$2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Dashboard'!$E$2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ADF-4D55-8DD7-24D7B31D274E}"/>
            </c:ext>
          </c:extLst>
        </c:ser>
        <c:ser>
          <c:idx val="1"/>
          <c:order val="1"/>
          <c:tx>
            <c:strRef>
              <c:f>'Dados Dashboard'!$F$1</c:f>
              <c:strCache>
                <c:ptCount val="1"/>
                <c:pt idx="0">
                  <c:v>Medida de Braço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Dashboard'!$D$2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Dashboard'!$F$2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ADF-4D55-8DD7-24D7B31D274E}"/>
            </c:ext>
          </c:extLst>
        </c:ser>
        <c:ser>
          <c:idx val="2"/>
          <c:order val="2"/>
          <c:tx>
            <c:strRef>
              <c:f>'Dados Dashboard'!$G$1</c:f>
              <c:strCache>
                <c:ptCount val="1"/>
                <c:pt idx="0">
                  <c:v>Medida de Cintura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Dashboard'!$D$2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Dashboard'!$G$2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ADF-4D55-8DD7-24D7B31D274E}"/>
            </c:ext>
          </c:extLst>
        </c:ser>
        <c:ser>
          <c:idx val="3"/>
          <c:order val="3"/>
          <c:tx>
            <c:strRef>
              <c:f>'Dados Dashboard'!$H$1</c:f>
              <c:strCache>
                <c:ptCount val="1"/>
                <c:pt idx="0">
                  <c:v>Medida de Peito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'Dados Dashboard'!$D$2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Dashboard'!$H$2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ADF-4D55-8DD7-24D7B31D274E}"/>
            </c:ext>
          </c:extLst>
        </c:ser>
        <c:ser>
          <c:idx val="4"/>
          <c:order val="4"/>
          <c:tx>
            <c:strRef>
              <c:f>'Dados Dashboard'!$I$1</c:f>
              <c:strCache>
                <c:ptCount val="1"/>
                <c:pt idx="0">
                  <c:v>Medida de Quadril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'Dados Dashboard'!$D$2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Dashboard'!$I$2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ADF-4D55-8DD7-24D7B31D274E}"/>
            </c:ext>
          </c:extLst>
        </c:ser>
        <c:ser>
          <c:idx val="5"/>
          <c:order val="5"/>
          <c:tx>
            <c:strRef>
              <c:f>'Dados Dashboard'!$J$1</c:f>
              <c:strCache>
                <c:ptCount val="1"/>
                <c:pt idx="0">
                  <c:v>Medida de Pescoço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'Dados Dashboard'!$D$2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Dashboard'!$J$2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ADF-4D55-8DD7-24D7B31D2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530360"/>
        <c:axId val="94530032"/>
      </c:lineChart>
      <c:catAx>
        <c:axId val="94530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30032"/>
        <c:crosses val="autoZero"/>
        <c:auto val="1"/>
        <c:lblAlgn val="ctr"/>
        <c:lblOffset val="100"/>
        <c:noMultiLvlLbl val="0"/>
      </c:catAx>
      <c:valAx>
        <c:axId val="945300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Medidas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30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[Evolução Academia.xlsm]Dados Dashboard!Tabela dinâmica8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Variação</a:t>
            </a:r>
            <a:r>
              <a:rPr lang="en-US" baseline="0"/>
              <a:t> de % de Gordura por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'Dados Dashboard'!$P$1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'Dados Dashboard'!$O$2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Dashboard'!$P$2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BDD-49D8-8BCC-65C3B29BE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5599288"/>
        <c:axId val="595597648"/>
      </c:barChart>
      <c:catAx>
        <c:axId val="595599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5597648"/>
        <c:crossesAt val="0"/>
        <c:auto val="1"/>
        <c:lblAlgn val="ctr"/>
        <c:lblOffset val="100"/>
        <c:noMultiLvlLbl val="0"/>
      </c:catAx>
      <c:valAx>
        <c:axId val="59559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559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[Evolução Academia.xlsm]Dados Dashboard!Tabela dinâmica7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Variação do IMC por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Dashboard'!$M$1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'Dados Dashboard'!$L$2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'Dados Dashboard'!$M$2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965-42A9-AA46-BA899AE47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0193624"/>
        <c:axId val="588149456"/>
      </c:barChart>
      <c:catAx>
        <c:axId val="340193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149456"/>
        <c:crosses val="autoZero"/>
        <c:auto val="1"/>
        <c:lblAlgn val="ctr"/>
        <c:lblOffset val="100"/>
        <c:noMultiLvlLbl val="0"/>
      </c:catAx>
      <c:valAx>
        <c:axId val="588149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IMC</a:t>
                </a:r>
                <a:r>
                  <a:rPr lang="pt-BR" baseline="0"/>
                  <a:t> (kg/cm²)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019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11751</xdr:colOff>
      <xdr:row>1</xdr:row>
      <xdr:rowOff>5862</xdr:rowOff>
    </xdr:from>
    <xdr:to>
      <xdr:col>24</xdr:col>
      <xdr:colOff>369277</xdr:colOff>
      <xdr:row>7</xdr:row>
      <xdr:rowOff>17585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4979</xdr:colOff>
      <xdr:row>7</xdr:row>
      <xdr:rowOff>11723</xdr:rowOff>
    </xdr:from>
    <xdr:to>
      <xdr:col>31</xdr:col>
      <xdr:colOff>17929</xdr:colOff>
      <xdr:row>14</xdr:row>
      <xdr:rowOff>376518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4</xdr:row>
          <xdr:rowOff>342900</xdr:rowOff>
        </xdr:from>
        <xdr:to>
          <xdr:col>5</xdr:col>
          <xdr:colOff>266700</xdr:colOff>
          <xdr:row>6</xdr:row>
          <xdr:rowOff>22860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6</xdr:row>
          <xdr:rowOff>190500</xdr:rowOff>
        </xdr:from>
        <xdr:to>
          <xdr:col>5</xdr:col>
          <xdr:colOff>281940</xdr:colOff>
          <xdr:row>7</xdr:row>
          <xdr:rowOff>259080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8</xdr:row>
          <xdr:rowOff>30480</xdr:rowOff>
        </xdr:from>
        <xdr:to>
          <xdr:col>5</xdr:col>
          <xdr:colOff>281940</xdr:colOff>
          <xdr:row>9</xdr:row>
          <xdr:rowOff>99060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9</xdr:row>
          <xdr:rowOff>289560</xdr:rowOff>
        </xdr:from>
        <xdr:to>
          <xdr:col>5</xdr:col>
          <xdr:colOff>281940</xdr:colOff>
          <xdr:row>10</xdr:row>
          <xdr:rowOff>358140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Mudar Valores Fixos</a:t>
              </a:r>
            </a:p>
          </xdr:txBody>
        </xdr:sp>
        <xdr:clientData fPrintsWithSheet="0"/>
      </xdr:twoCellAnchor>
    </mc:Choice>
    <mc:Fallback/>
  </mc:AlternateContent>
  <xdr:twoCellAnchor>
    <xdr:from>
      <xdr:col>70</xdr:col>
      <xdr:colOff>8963</xdr:colOff>
      <xdr:row>8</xdr:row>
      <xdr:rowOff>17929</xdr:rowOff>
    </xdr:from>
    <xdr:to>
      <xdr:col>87</xdr:col>
      <xdr:colOff>367552</xdr:colOff>
      <xdr:row>15</xdr:row>
      <xdr:rowOff>0</xdr:rowOff>
    </xdr:to>
    <xdr:graphicFrame macro="">
      <xdr:nvGraphicFramePr>
        <xdr:cNvPr id="4" name="Gráfico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90</xdr:col>
      <xdr:colOff>0</xdr:colOff>
      <xdr:row>8</xdr:row>
      <xdr:rowOff>17929</xdr:rowOff>
    </xdr:from>
    <xdr:to>
      <xdr:col>108</xdr:col>
      <xdr:colOff>367552</xdr:colOff>
      <xdr:row>15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144780</xdr:colOff>
          <xdr:row>3</xdr:row>
          <xdr:rowOff>350520</xdr:rowOff>
        </xdr:from>
        <xdr:to>
          <xdr:col>52</xdr:col>
          <xdr:colOff>220980</xdr:colOff>
          <xdr:row>8</xdr:row>
          <xdr:rowOff>152400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wordArtVert" wrap="square" lIns="36576" tIns="0" rIns="36576" bIns="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44</xdr:col>
      <xdr:colOff>17929</xdr:colOff>
      <xdr:row>11</xdr:row>
      <xdr:rowOff>179294</xdr:rowOff>
    </xdr:from>
    <xdr:to>
      <xdr:col>67</xdr:col>
      <xdr:colOff>322729</xdr:colOff>
      <xdr:row>14</xdr:row>
      <xdr:rowOff>358589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9" name="Data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43929" y="4419600"/>
              <a:ext cx="8964706" cy="13357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44</xdr:col>
      <xdr:colOff>8966</xdr:colOff>
      <xdr:row>9</xdr:row>
      <xdr:rowOff>26894</xdr:rowOff>
    </xdr:from>
    <xdr:to>
      <xdr:col>58</xdr:col>
      <xdr:colOff>358589</xdr:colOff>
      <xdr:row>12</xdr:row>
      <xdr:rowOff>35859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0" name="Data 1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34966" y="3496235"/>
              <a:ext cx="5620870" cy="11654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2</xdr:row>
          <xdr:rowOff>152400</xdr:rowOff>
        </xdr:from>
        <xdr:to>
          <xdr:col>7</xdr:col>
          <xdr:colOff>76200</xdr:colOff>
          <xdr:row>4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Ultima Data Postada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3</xdr:row>
          <xdr:rowOff>137160</xdr:rowOff>
        </xdr:from>
        <xdr:to>
          <xdr:col>12</xdr:col>
          <xdr:colOff>434340</xdr:colOff>
          <xdr:row>5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dbl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6</xdr:row>
          <xdr:rowOff>45720</xdr:rowOff>
        </xdr:from>
        <xdr:to>
          <xdr:col>12</xdr:col>
          <xdr:colOff>434340</xdr:colOff>
          <xdr:row>7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3</xdr:row>
          <xdr:rowOff>182880</xdr:rowOff>
        </xdr:from>
        <xdr:to>
          <xdr:col>4</xdr:col>
          <xdr:colOff>45720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Hoje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3</xdr:row>
          <xdr:rowOff>99060</xdr:rowOff>
        </xdr:from>
        <xdr:to>
          <xdr:col>1</xdr:col>
          <xdr:colOff>556260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106680</xdr:rowOff>
        </xdr:from>
        <xdr:to>
          <xdr:col>3</xdr:col>
          <xdr:colOff>434340</xdr:colOff>
          <xdr:row>5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3</xdr:row>
          <xdr:rowOff>114300</xdr:rowOff>
        </xdr:from>
        <xdr:to>
          <xdr:col>5</xdr:col>
          <xdr:colOff>556260</xdr:colOff>
          <xdr:row>5</xdr:row>
          <xdr:rowOff>91440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8</xdr:row>
          <xdr:rowOff>106680</xdr:rowOff>
        </xdr:from>
        <xdr:to>
          <xdr:col>8</xdr:col>
          <xdr:colOff>1181100</xdr:colOff>
          <xdr:row>10</xdr:row>
          <xdr:rowOff>68580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4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 Medeiros" refreshedDate="44420.776441782407" createdVersion="7" refreshedVersion="7" minRefreshableVersion="3" recordCount="25" xr:uid="{C154F58C-A166-43B0-AD15-2F52C99D95C7}">
  <cacheSource type="worksheet">
    <worksheetSource ref="A7:J1048576" sheet="Banco Filtrado"/>
  </cacheSource>
  <cacheFields count="10">
    <cacheField name="Data" numFmtId="0">
      <sharedItems containsNonDate="0" containsDate="1" containsString="0" containsBlank="1" minDate="1899-12-30T00:00:00" maxDate="2021-08-21T00:00:00" count="18">
        <m/>
        <d v="2021-08-15T00:00:00" u="1"/>
        <d v="2021-08-08T00:00:00" u="1"/>
        <d v="2021-08-20T00:00:00" u="1"/>
        <d v="2021-08-13T00:00:00" u="1"/>
        <d v="2021-08-06T00:00:00" u="1"/>
        <d v="2021-08-18T00:00:00" u="1"/>
        <d v="2021-08-11T00:00:00" u="1"/>
        <d v="2021-08-16T00:00:00" u="1"/>
        <d v="2021-08-09T00:00:00" u="1"/>
        <d v="2021-08-14T00:00:00" u="1"/>
        <d v="2021-08-07T00:00:00" u="1"/>
        <d v="1899-12-30T00:00:00" u="1"/>
        <d v="2021-08-19T00:00:00" u="1"/>
        <d v="2021-08-12T00:00:00" u="1"/>
        <d v="2021-08-05T00:00:00" u="1"/>
        <d v="2021-08-17T00:00:00" u="1"/>
        <d v="2021-08-10T00:00:00" u="1"/>
      </sharedItems>
    </cacheField>
    <cacheField name="Peso" numFmtId="0">
      <sharedItems containsNonDate="0" containsString="0" containsBlank="1"/>
    </cacheField>
    <cacheField name="Perna" numFmtId="0">
      <sharedItems containsNonDate="0" containsString="0" containsBlank="1"/>
    </cacheField>
    <cacheField name="Braço" numFmtId="0">
      <sharedItems containsNonDate="0" containsString="0" containsBlank="1"/>
    </cacheField>
    <cacheField name="Cintura" numFmtId="0">
      <sharedItems containsNonDate="0" containsString="0" containsBlank="1"/>
    </cacheField>
    <cacheField name="Peito" numFmtId="0">
      <sharedItems containsNonDate="0" containsString="0" containsBlank="1"/>
    </cacheField>
    <cacheField name="Quadril" numFmtId="0">
      <sharedItems containsNonDate="0" containsString="0" containsBlank="1"/>
    </cacheField>
    <cacheField name="Pescoço" numFmtId="0">
      <sharedItems containsNonDate="0" containsString="0" containsBlank="1"/>
    </cacheField>
    <cacheField name="%Gordura" numFmtId="0">
      <sharedItems containsNonDate="0" containsString="0" containsBlank="1"/>
    </cacheField>
    <cacheField name="IMC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7729595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  <r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CADC0D-A05F-4C25-A00C-CE0C096ED3E5}" name="Tabela dinâmica4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2">
  <location ref="D1:J2" firstHeaderRow="0" firstDataRow="1" firstDataCol="1"/>
  <pivotFields count="10">
    <pivotField axis="axisRow" showAll="0">
      <items count="19">
        <item m="1" x="15"/>
        <item m="1" x="5"/>
        <item m="1" x="11"/>
        <item m="1" x="2"/>
        <item m="1" x="9"/>
        <item m="1" x="17"/>
        <item x="0"/>
        <item m="1" x="7"/>
        <item m="1" x="14"/>
        <item m="1" x="4"/>
        <item m="1" x="10"/>
        <item m="1" x="1"/>
        <item m="1" x="8"/>
        <item m="1" x="12"/>
        <item m="1" x="16"/>
        <item m="1" x="3"/>
        <item m="1" x="6"/>
        <item m="1" x="1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1">
    <i>
      <x v="6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edida de Perna" fld="2" baseField="0" baseItem="0"/>
    <dataField name="Medida de Braço" fld="3" baseField="0" baseItem="0"/>
    <dataField name="Medida de Cintura" fld="4" baseField="0" baseItem="0"/>
    <dataField name="Medida de Peito" fld="5" baseField="0" baseItem="0"/>
    <dataField name="Medida de Quadril" fld="6" baseField="0" baseItem="0"/>
    <dataField name="Medida de Pescoço" fld="7" baseField="0" baseItem="0"/>
  </dataFields>
  <chartFormats count="6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4EDDB-A657-4F53-8000-1D72C9DF3FBE}" name="Tabela dinâmica3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3">
  <location ref="A1:B2" firstHeaderRow="1" firstDataRow="1" firstDataCol="1"/>
  <pivotFields count="10">
    <pivotField axis="axisRow" showAll="0">
      <items count="19">
        <item m="1" x="15"/>
        <item m="1" x="5"/>
        <item m="1" x="11"/>
        <item m="1" x="2"/>
        <item m="1" x="9"/>
        <item m="1" x="17"/>
        <item x="0"/>
        <item m="1" x="7"/>
        <item m="1" x="14"/>
        <item m="1" x="4"/>
        <item m="1" x="10"/>
        <item m="1" x="1"/>
        <item m="1" x="8"/>
        <item m="1" x="12"/>
        <item m="1" x="16"/>
        <item m="1" x="3"/>
        <item m="1" x="6"/>
        <item m="1" x="13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>
      <x v="6"/>
    </i>
  </rowItems>
  <colItems count="1">
    <i/>
  </colItems>
  <dataFields count="1">
    <dataField name="Soma de Peso" fld="1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DBD93-340A-4E6E-852E-98AFED747692}" name="Tabela dinâmica8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2">
  <location ref="O1:P2" firstHeaderRow="1" firstDataRow="1" firstDataCol="1"/>
  <pivotFields count="10">
    <pivotField axis="axisRow" showAll="0">
      <items count="19">
        <item m="1" x="15"/>
        <item m="1" x="5"/>
        <item m="1" x="11"/>
        <item m="1" x="2"/>
        <item m="1" x="9"/>
        <item m="1" x="17"/>
        <item m="1" x="7"/>
        <item m="1" x="14"/>
        <item m="1" x="4"/>
        <item x="0"/>
        <item m="1" x="10"/>
        <item m="1" x="1"/>
        <item m="1" x="8"/>
        <item m="1" x="12"/>
        <item m="1" x="16"/>
        <item m="1" x="3"/>
        <item m="1" x="6"/>
        <item m="1"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">
    <i>
      <x v="9"/>
    </i>
  </rowItems>
  <colItems count="1">
    <i/>
  </colItems>
  <dataFields count="1">
    <dataField name="Soma de %Gordura" fld="8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9B2B0E-B8C4-4705-B88B-10327147A03F}" name="Tabela dinâmica7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2">
  <location ref="L1:M2" firstHeaderRow="1" firstDataRow="1" firstDataCol="1"/>
  <pivotFields count="10">
    <pivotField axis="axisRow" showAll="0">
      <items count="19">
        <item m="1" x="15"/>
        <item m="1" x="5"/>
        <item m="1" x="11"/>
        <item m="1" x="2"/>
        <item m="1" x="9"/>
        <item m="1" x="17"/>
        <item m="1" x="7"/>
        <item m="1" x="14"/>
        <item m="1" x="4"/>
        <item x="0"/>
        <item m="1" x="10"/>
        <item m="1" x="1"/>
        <item m="1" x="8"/>
        <item m="1" x="12"/>
        <item m="1" x="16"/>
        <item m="1" x="3"/>
        <item m="1" x="6"/>
        <item m="1"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>
      <x v="9"/>
    </i>
  </rowItems>
  <colItems count="1">
    <i/>
  </colItems>
  <dataFields count="1">
    <dataField name="Soma de IMC" fld="9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2C6650-21CE-4BAF-AB13-7BD0961BDEE4}" name="Tabela4" displayName="Tabela4" ref="I6:K10" totalsRowShown="0" headerRowDxfId="4" dataDxfId="3">
  <tableColumns count="3">
    <tableColumn id="1" xr3:uid="{32F9F6B0-0967-4C10-BF7B-7A1BC8B2791F}" name="Para Emagrecer" dataDxfId="2"/>
    <tableColumn id="2" xr3:uid="{16154B4C-434C-499C-91C9-CAA4EF2DCE12}" name="Indice" dataDxfId="1" dataCellStyle="Porcentagem"/>
    <tableColumn id="3" xr3:uid="{6573CC93-B138-459A-A569-423555D1F605}" name="Para Engordar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120117E0-DCA0-4D8B-8A1B-D3CA90BD7683}" sourceName="Data">
  <pivotTables>
    <pivotTable tabId="7" name="Tabela dinâmica4"/>
    <pivotTable tabId="7" name="Tabela dinâmica3"/>
    <pivotTable tabId="7" name="Tabela dinâmica7"/>
    <pivotTable tabId="7" name="Tabela dinâmica8"/>
  </pivotTables>
  <state minimalRefreshVersion="6" lastRefreshVersion="6" pivotCacheId="772959587" filterType="unknown">
    <bounds startDate="1899-12-3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A771E475-B3C1-4B13-B7FD-11B25AAB504B}" cache="NativeTimeline_Data" caption="Data" level="3" selectionLevel="3" scrollPosition="2021-05-01T00:00:00" style="TimeSlicerStyleDark1"/>
  <timeline name="Data 1" xr10:uid="{9B9D81DA-8976-4FF0-AD08-D3E7C78B965A}" cache="NativeTimeline_Data" caption="Data" level="2" selectionLevel="2" scrollPosition="2020-12-06T00:00:00" style="TimeSlicerStyleDark1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omments" Target="../comments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96BAD-00F0-4D79-9CA4-C00369CEB203}">
  <sheetPr codeName="Planilha9"/>
  <dimension ref="A1:EU50"/>
  <sheetViews>
    <sheetView tabSelected="1" zoomScale="85" zoomScaleNormal="85" workbookViewId="0">
      <pane xSplit="8" topLeftCell="I1" activePane="topRight" state="frozen"/>
      <selection pane="topRight" activeCell="I7" sqref="I7"/>
    </sheetView>
  </sheetViews>
  <sheetFormatPr defaultColWidth="0" defaultRowHeight="14.4" zeroHeight="1" x14ac:dyDescent="0.3"/>
  <cols>
    <col min="1" max="7" width="5.44140625" customWidth="1"/>
    <col min="8" max="10" width="5.5546875" style="22" customWidth="1"/>
    <col min="11" max="33" width="5.5546875" customWidth="1"/>
    <col min="34" max="42" width="6.6640625" customWidth="1"/>
    <col min="43" max="73" width="5.44140625" customWidth="1"/>
    <col min="74" max="74" width="4.88671875" customWidth="1"/>
    <col min="75" max="75" width="6.33203125" customWidth="1"/>
    <col min="76" max="92" width="5.44140625" customWidth="1"/>
    <col min="93" max="113" width="5.5546875" customWidth="1"/>
    <col min="114" max="151" width="5.5546875" hidden="1" customWidth="1"/>
    <col min="152" max="16384" width="8.88671875" hidden="1"/>
  </cols>
  <sheetData>
    <row r="1" spans="1:113" s="22" customFormat="1" ht="30" customHeight="1" thickBot="1" x14ac:dyDescent="0.35"/>
    <row r="2" spans="1:113" ht="30" customHeight="1" x14ac:dyDescent="0.3">
      <c r="A2" s="201" t="s">
        <v>46</v>
      </c>
      <c r="B2" s="202"/>
      <c r="C2" s="40"/>
      <c r="D2" s="40"/>
      <c r="E2" s="40"/>
      <c r="F2" s="40"/>
      <c r="G2" s="40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180" t="s">
        <v>43</v>
      </c>
      <c r="AA2" s="181"/>
      <c r="AB2" s="182"/>
      <c r="AC2" s="198" t="s">
        <v>45</v>
      </c>
      <c r="AD2" s="199"/>
      <c r="AE2" s="200"/>
      <c r="AF2" s="61"/>
      <c r="AG2" s="23"/>
      <c r="AH2" s="186" t="s">
        <v>61</v>
      </c>
      <c r="AI2" s="187"/>
      <c r="AJ2" s="187"/>
      <c r="AK2" s="187"/>
      <c r="AL2" s="187"/>
      <c r="AM2" s="187"/>
      <c r="AN2" s="187"/>
      <c r="AO2" s="187"/>
      <c r="AP2" s="188"/>
      <c r="AQ2" s="23"/>
      <c r="AR2" s="23"/>
      <c r="AS2" s="186" t="s">
        <v>44</v>
      </c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8"/>
      <c r="BH2" s="23"/>
      <c r="BI2" s="23"/>
      <c r="BJ2" s="135" t="s">
        <v>133</v>
      </c>
      <c r="BK2" s="136"/>
      <c r="BL2" s="137"/>
      <c r="BM2" s="117" t="s">
        <v>92</v>
      </c>
      <c r="BN2" s="118"/>
      <c r="BO2" s="119"/>
      <c r="BP2" s="23"/>
      <c r="BQ2" s="23"/>
      <c r="BR2" s="23"/>
      <c r="BS2" s="23"/>
      <c r="BT2" s="83" t="s">
        <v>88</v>
      </c>
      <c r="BU2" s="84"/>
      <c r="BV2" s="85"/>
      <c r="BW2" s="146" t="s">
        <v>130</v>
      </c>
      <c r="BX2" s="147"/>
      <c r="BY2" s="147"/>
      <c r="BZ2" s="147"/>
      <c r="CA2" s="147" t="s">
        <v>94</v>
      </c>
      <c r="CB2" s="147"/>
      <c r="CC2" s="147"/>
      <c r="CD2" s="147" t="s">
        <v>95</v>
      </c>
      <c r="CE2" s="147"/>
      <c r="CF2" s="170"/>
      <c r="CG2" s="83" t="s">
        <v>85</v>
      </c>
      <c r="CH2" s="84"/>
      <c r="CI2" s="85"/>
      <c r="CJ2" s="23"/>
      <c r="CK2" s="23"/>
      <c r="CL2" s="23"/>
      <c r="CM2" s="23"/>
      <c r="CN2" s="23"/>
      <c r="CO2" s="83" t="s">
        <v>89</v>
      </c>
      <c r="CP2" s="84"/>
      <c r="CQ2" s="85"/>
      <c r="CR2" s="146" t="s">
        <v>11</v>
      </c>
      <c r="CS2" s="147"/>
      <c r="CT2" s="147"/>
      <c r="CU2" s="147"/>
      <c r="CV2" s="148" t="s">
        <v>105</v>
      </c>
      <c r="CW2" s="149"/>
      <c r="CX2" s="149"/>
      <c r="CY2" s="149"/>
      <c r="CZ2" s="150"/>
      <c r="DA2" s="83" t="s">
        <v>84</v>
      </c>
      <c r="DB2" s="84"/>
      <c r="DC2" s="85"/>
      <c r="DD2" s="23"/>
      <c r="DE2" s="23"/>
      <c r="DF2" s="23"/>
      <c r="DG2" s="23"/>
      <c r="DH2" s="22"/>
      <c r="DI2" s="22"/>
    </row>
    <row r="3" spans="1:113" ht="30" customHeight="1" thickBot="1" x14ac:dyDescent="0.35">
      <c r="A3" s="202"/>
      <c r="B3" s="202"/>
      <c r="C3" s="40"/>
      <c r="D3" s="40"/>
      <c r="E3" s="40"/>
      <c r="F3" s="40"/>
      <c r="G3" s="4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192">
        <f>dshMaiorPeso-dshMenorPeso</f>
        <v>0</v>
      </c>
      <c r="AA3" s="193"/>
      <c r="AB3" s="194"/>
      <c r="AC3" s="192">
        <f>'Banco de Dados'!$B$3</f>
        <v>0</v>
      </c>
      <c r="AD3" s="193"/>
      <c r="AE3" s="194"/>
      <c r="AF3" s="39"/>
      <c r="AG3" s="23"/>
      <c r="AH3" s="189"/>
      <c r="AI3" s="190"/>
      <c r="AJ3" s="190"/>
      <c r="AK3" s="190"/>
      <c r="AL3" s="190"/>
      <c r="AM3" s="190"/>
      <c r="AN3" s="190"/>
      <c r="AO3" s="190"/>
      <c r="AP3" s="191"/>
      <c r="AQ3" s="23"/>
      <c r="AR3" s="23"/>
      <c r="AS3" s="189"/>
      <c r="AT3" s="190"/>
      <c r="AU3" s="190"/>
      <c r="AV3" s="190"/>
      <c r="AW3" s="190"/>
      <c r="AX3" s="190"/>
      <c r="AY3" s="190"/>
      <c r="AZ3" s="190"/>
      <c r="BA3" s="190"/>
      <c r="BB3" s="190"/>
      <c r="BC3" s="190"/>
      <c r="BD3" s="190"/>
      <c r="BE3" s="190"/>
      <c r="BF3" s="190"/>
      <c r="BG3" s="191"/>
      <c r="BH3" s="23"/>
      <c r="BI3" s="23"/>
      <c r="BJ3" s="138"/>
      <c r="BK3" s="139"/>
      <c r="BL3" s="140"/>
      <c r="BM3" s="120"/>
      <c r="BN3" s="121"/>
      <c r="BO3" s="122"/>
      <c r="BP3" s="23"/>
      <c r="BQ3" s="23"/>
      <c r="BR3" s="23"/>
      <c r="BS3" s="23"/>
      <c r="BT3" s="110">
        <f>INDEX('Banco de Dados'!I2:I1048576,2)</f>
        <v>0</v>
      </c>
      <c r="BU3" s="111"/>
      <c r="BV3" s="112"/>
      <c r="BW3" s="151" t="s">
        <v>96</v>
      </c>
      <c r="BX3" s="152"/>
      <c r="BY3" s="152"/>
      <c r="BZ3" s="153"/>
      <c r="CA3" s="166" t="s">
        <v>118</v>
      </c>
      <c r="CB3" s="166"/>
      <c r="CC3" s="166"/>
      <c r="CD3" s="166" t="s">
        <v>124</v>
      </c>
      <c r="CE3" s="166"/>
      <c r="CF3" s="167"/>
      <c r="CG3" s="110"/>
      <c r="CH3" s="111"/>
      <c r="CI3" s="112"/>
      <c r="CJ3" s="23"/>
      <c r="CK3" s="23"/>
      <c r="CL3" s="23"/>
      <c r="CM3" s="23"/>
      <c r="CN3" s="23"/>
      <c r="CO3" s="98">
        <f>INDEX('Banco de Dados'!J2:J1048576,2)</f>
        <v>0</v>
      </c>
      <c r="CP3" s="99"/>
      <c r="CQ3" s="100"/>
      <c r="CR3" s="151" t="s">
        <v>106</v>
      </c>
      <c r="CS3" s="152"/>
      <c r="CT3" s="152"/>
      <c r="CU3" s="153"/>
      <c r="CV3" s="154" t="s">
        <v>112</v>
      </c>
      <c r="CW3" s="152"/>
      <c r="CX3" s="152"/>
      <c r="CY3" s="152"/>
      <c r="CZ3" s="155"/>
      <c r="DA3" s="86"/>
      <c r="DB3" s="87"/>
      <c r="DC3" s="88"/>
      <c r="DD3" s="23"/>
      <c r="DE3" s="23"/>
      <c r="DF3" s="23"/>
      <c r="DG3" s="23"/>
      <c r="DH3" s="22"/>
      <c r="DI3" s="22"/>
    </row>
    <row r="4" spans="1:113" ht="30" customHeight="1" thickBot="1" x14ac:dyDescent="0.35">
      <c r="A4" s="202"/>
      <c r="B4" s="202"/>
      <c r="C4" s="40"/>
      <c r="D4" s="40"/>
      <c r="E4" s="40"/>
      <c r="F4" s="40"/>
      <c r="G4" s="40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195"/>
      <c r="AA4" s="196"/>
      <c r="AB4" s="197"/>
      <c r="AC4" s="195"/>
      <c r="AD4" s="196"/>
      <c r="AE4" s="197"/>
      <c r="AF4" s="39"/>
      <c r="AG4" s="23"/>
      <c r="AH4" s="180" t="s">
        <v>49</v>
      </c>
      <c r="AI4" s="181"/>
      <c r="AJ4" s="182"/>
      <c r="AK4" s="180" t="s">
        <v>53</v>
      </c>
      <c r="AL4" s="181"/>
      <c r="AM4" s="182"/>
      <c r="AN4" s="180" t="s">
        <v>57</v>
      </c>
      <c r="AO4" s="181"/>
      <c r="AP4" s="182"/>
      <c r="AQ4" s="23"/>
      <c r="AR4" s="23"/>
      <c r="AS4" s="171" t="s">
        <v>81</v>
      </c>
      <c r="AT4" s="172"/>
      <c r="AU4" s="172"/>
      <c r="AV4" s="172"/>
      <c r="AW4" s="172"/>
      <c r="AX4" s="173"/>
      <c r="AY4" s="183"/>
      <c r="AZ4" s="184"/>
      <c r="BA4" s="185"/>
      <c r="BB4" s="171" t="s">
        <v>80</v>
      </c>
      <c r="BC4" s="172"/>
      <c r="BD4" s="172"/>
      <c r="BE4" s="172"/>
      <c r="BF4" s="172"/>
      <c r="BG4" s="173"/>
      <c r="BH4" s="23"/>
      <c r="BI4" s="23"/>
      <c r="BJ4" s="138"/>
      <c r="BK4" s="139"/>
      <c r="BL4" s="140"/>
      <c r="BM4" s="123"/>
      <c r="BN4" s="124"/>
      <c r="BO4" s="125"/>
      <c r="BP4" s="23"/>
      <c r="BQ4" s="23"/>
      <c r="BR4" s="23"/>
      <c r="BS4" s="23"/>
      <c r="BT4" s="113"/>
      <c r="BU4" s="114"/>
      <c r="BV4" s="115"/>
      <c r="BW4" s="156" t="s">
        <v>97</v>
      </c>
      <c r="BX4" s="157"/>
      <c r="BY4" s="157"/>
      <c r="BZ4" s="158"/>
      <c r="CA4" s="168" t="s">
        <v>119</v>
      </c>
      <c r="CB4" s="168"/>
      <c r="CC4" s="168"/>
      <c r="CD4" s="168" t="s">
        <v>125</v>
      </c>
      <c r="CE4" s="168"/>
      <c r="CF4" s="169"/>
      <c r="CG4" s="113"/>
      <c r="CH4" s="114"/>
      <c r="CI4" s="115"/>
      <c r="CJ4" s="23"/>
      <c r="CK4" s="23"/>
      <c r="CL4" s="23"/>
      <c r="CM4" s="23"/>
      <c r="CN4" s="23"/>
      <c r="CO4" s="101"/>
      <c r="CP4" s="102"/>
      <c r="CQ4" s="103"/>
      <c r="CR4" s="156" t="s">
        <v>107</v>
      </c>
      <c r="CS4" s="157"/>
      <c r="CT4" s="157"/>
      <c r="CU4" s="158"/>
      <c r="CV4" s="159" t="s">
        <v>113</v>
      </c>
      <c r="CW4" s="157"/>
      <c r="CX4" s="157"/>
      <c r="CY4" s="157"/>
      <c r="CZ4" s="160"/>
      <c r="DA4" s="89"/>
      <c r="DB4" s="90"/>
      <c r="DC4" s="91"/>
      <c r="DD4" s="23"/>
      <c r="DE4" s="23"/>
      <c r="DF4" s="23"/>
      <c r="DG4" s="23"/>
      <c r="DH4" s="22"/>
      <c r="DI4" s="22"/>
    </row>
    <row r="5" spans="1:113" ht="30" customHeight="1" thickBot="1" x14ac:dyDescent="0.35">
      <c r="A5" s="202"/>
      <c r="B5" s="202"/>
      <c r="C5" s="41"/>
      <c r="D5" s="41"/>
      <c r="E5" s="41"/>
      <c r="F5" s="41"/>
      <c r="G5" s="40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180" t="s">
        <v>42</v>
      </c>
      <c r="AA5" s="181"/>
      <c r="AB5" s="182"/>
      <c r="AC5" s="180" t="s">
        <v>41</v>
      </c>
      <c r="AD5" s="181"/>
      <c r="AE5" s="182"/>
      <c r="AF5" s="60"/>
      <c r="AG5" s="23"/>
      <c r="AH5" s="192">
        <f>MIN('Dados Dashboard'!E:E)</f>
        <v>0</v>
      </c>
      <c r="AI5" s="193"/>
      <c r="AJ5" s="194"/>
      <c r="AK5" s="192">
        <f>MIN('Dados Dashboard'!G:G)</f>
        <v>0</v>
      </c>
      <c r="AL5" s="193"/>
      <c r="AM5" s="194"/>
      <c r="AN5" s="192">
        <f>MIN('Dados Dashboard'!I:I)</f>
        <v>0</v>
      </c>
      <c r="AO5" s="193"/>
      <c r="AP5" s="194"/>
      <c r="AQ5" s="23"/>
      <c r="AR5" s="23"/>
      <c r="AS5" s="174" t="str">
        <f>Indice</f>
        <v>Calculado</v>
      </c>
      <c r="AT5" s="175"/>
      <c r="AU5" s="175"/>
      <c r="AV5" s="175"/>
      <c r="AW5" s="175"/>
      <c r="AX5" s="176"/>
      <c r="AY5" s="183"/>
      <c r="AZ5" s="184"/>
      <c r="BA5" s="185"/>
      <c r="BB5" s="209" t="str">
        <f>IFERROR(Atingiu,"Altere seus dados")</f>
        <v>Altere seus dados</v>
      </c>
      <c r="BC5" s="210"/>
      <c r="BD5" s="210"/>
      <c r="BE5" s="210"/>
      <c r="BF5" s="210"/>
      <c r="BG5" s="211"/>
      <c r="BH5" s="23"/>
      <c r="BI5" s="23"/>
      <c r="BJ5" s="138"/>
      <c r="BK5" s="139"/>
      <c r="BL5" s="140"/>
      <c r="BM5" s="117" t="s">
        <v>90</v>
      </c>
      <c r="BN5" s="118"/>
      <c r="BO5" s="119"/>
      <c r="BP5" s="23"/>
      <c r="BQ5" s="23"/>
      <c r="BR5" s="23"/>
      <c r="BS5" s="23"/>
      <c r="BT5" s="23"/>
      <c r="BU5" s="23"/>
      <c r="BV5" s="23"/>
      <c r="BW5" s="151" t="s">
        <v>98</v>
      </c>
      <c r="BX5" s="152"/>
      <c r="BY5" s="152"/>
      <c r="BZ5" s="153"/>
      <c r="CA5" s="166" t="s">
        <v>120</v>
      </c>
      <c r="CB5" s="166"/>
      <c r="CC5" s="166"/>
      <c r="CD5" s="166" t="s">
        <v>126</v>
      </c>
      <c r="CE5" s="166"/>
      <c r="CF5" s="167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151" t="s">
        <v>108</v>
      </c>
      <c r="CS5" s="152"/>
      <c r="CT5" s="152"/>
      <c r="CU5" s="153"/>
      <c r="CV5" s="154" t="s">
        <v>114</v>
      </c>
      <c r="CW5" s="152"/>
      <c r="CX5" s="152"/>
      <c r="CY5" s="152"/>
      <c r="CZ5" s="155"/>
      <c r="DA5" s="23"/>
      <c r="DB5" s="23"/>
      <c r="DC5" s="23"/>
      <c r="DD5" s="23"/>
      <c r="DE5" s="23"/>
      <c r="DF5" s="23"/>
      <c r="DG5" s="23"/>
      <c r="DH5" s="22"/>
      <c r="DI5" s="22"/>
    </row>
    <row r="6" spans="1:113" ht="30" customHeight="1" thickBot="1" x14ac:dyDescent="0.35">
      <c r="A6" s="202"/>
      <c r="B6" s="202"/>
      <c r="C6" s="41"/>
      <c r="D6" s="41"/>
      <c r="E6" s="41"/>
      <c r="F6" s="41"/>
      <c r="G6" s="40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>
        <v>15.5</v>
      </c>
      <c r="U6" s="23"/>
      <c r="V6" s="23"/>
      <c r="W6" s="23"/>
      <c r="X6" s="23"/>
      <c r="Y6" s="23"/>
      <c r="Z6" s="192">
        <f>MAX('Dados Dashboard'!B:B)</f>
        <v>0</v>
      </c>
      <c r="AA6" s="193"/>
      <c r="AB6" s="194"/>
      <c r="AC6" s="192">
        <f>MIN('Dados Dashboard'!B:B)</f>
        <v>0</v>
      </c>
      <c r="AD6" s="193"/>
      <c r="AE6" s="194"/>
      <c r="AF6" s="39"/>
      <c r="AG6" s="23"/>
      <c r="AH6" s="195"/>
      <c r="AI6" s="196"/>
      <c r="AJ6" s="197"/>
      <c r="AK6" s="195"/>
      <c r="AL6" s="196"/>
      <c r="AM6" s="197"/>
      <c r="AN6" s="195"/>
      <c r="AO6" s="196"/>
      <c r="AP6" s="197"/>
      <c r="AQ6" s="23"/>
      <c r="AR6" s="23"/>
      <c r="AS6" s="177"/>
      <c r="AT6" s="178"/>
      <c r="AU6" s="178"/>
      <c r="AV6" s="178"/>
      <c r="AW6" s="178"/>
      <c r="AX6" s="179"/>
      <c r="AY6" s="183"/>
      <c r="AZ6" s="184"/>
      <c r="BA6" s="185"/>
      <c r="BB6" s="212"/>
      <c r="BC6" s="213"/>
      <c r="BD6" s="213"/>
      <c r="BE6" s="213"/>
      <c r="BF6" s="213"/>
      <c r="BG6" s="214"/>
      <c r="BH6" s="23"/>
      <c r="BI6" s="23"/>
      <c r="BJ6" s="138"/>
      <c r="BK6" s="139"/>
      <c r="BL6" s="140"/>
      <c r="BM6" s="120">
        <f>INDEX('Banco de Dados'!A2:A1048576,2)</f>
        <v>0</v>
      </c>
      <c r="BN6" s="121"/>
      <c r="BO6" s="122"/>
      <c r="BP6" s="23"/>
      <c r="BQ6" s="23"/>
      <c r="BR6" s="23"/>
      <c r="BS6" s="23"/>
      <c r="BT6" s="116" t="s">
        <v>131</v>
      </c>
      <c r="BU6" s="84"/>
      <c r="BV6" s="85"/>
      <c r="BW6" s="156" t="s">
        <v>99</v>
      </c>
      <c r="BX6" s="157"/>
      <c r="BY6" s="157"/>
      <c r="BZ6" s="158"/>
      <c r="CA6" s="168" t="s">
        <v>121</v>
      </c>
      <c r="CB6" s="168"/>
      <c r="CC6" s="168"/>
      <c r="CD6" s="168" t="s">
        <v>127</v>
      </c>
      <c r="CE6" s="168"/>
      <c r="CF6" s="169"/>
      <c r="CG6" s="126" t="s">
        <v>86</v>
      </c>
      <c r="CH6" s="127"/>
      <c r="CI6" s="128"/>
      <c r="CJ6" s="23"/>
      <c r="CK6" s="23"/>
      <c r="CL6" s="23"/>
      <c r="CM6" s="23"/>
      <c r="CN6" s="23"/>
      <c r="CO6" s="83" t="s">
        <v>132</v>
      </c>
      <c r="CP6" s="84"/>
      <c r="CQ6" s="85"/>
      <c r="CR6" s="156" t="s">
        <v>109</v>
      </c>
      <c r="CS6" s="157"/>
      <c r="CT6" s="157"/>
      <c r="CU6" s="158"/>
      <c r="CV6" s="159" t="s">
        <v>115</v>
      </c>
      <c r="CW6" s="157"/>
      <c r="CX6" s="157"/>
      <c r="CY6" s="157"/>
      <c r="CZ6" s="160"/>
      <c r="DA6" s="83" t="s">
        <v>87</v>
      </c>
      <c r="DB6" s="84"/>
      <c r="DC6" s="85"/>
      <c r="DD6" s="23"/>
      <c r="DE6" s="23"/>
      <c r="DF6" s="23"/>
      <c r="DG6" s="23"/>
      <c r="DH6" s="22"/>
      <c r="DI6" s="22"/>
    </row>
    <row r="7" spans="1:113" ht="30" customHeight="1" thickBot="1" x14ac:dyDescent="0.35">
      <c r="A7" s="202"/>
      <c r="B7" s="202"/>
      <c r="C7" s="41"/>
      <c r="D7" s="41"/>
      <c r="E7" s="41"/>
      <c r="F7" s="41"/>
      <c r="G7" s="40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195"/>
      <c r="AA7" s="196"/>
      <c r="AB7" s="197"/>
      <c r="AC7" s="195"/>
      <c r="AD7" s="196"/>
      <c r="AE7" s="197"/>
      <c r="AF7" s="39"/>
      <c r="AG7" s="23"/>
      <c r="AH7" s="180" t="s">
        <v>50</v>
      </c>
      <c r="AI7" s="181"/>
      <c r="AJ7" s="182"/>
      <c r="AK7" s="180" t="s">
        <v>54</v>
      </c>
      <c r="AL7" s="181"/>
      <c r="AM7" s="182"/>
      <c r="AN7" s="180" t="s">
        <v>58</v>
      </c>
      <c r="AO7" s="181"/>
      <c r="AP7" s="182"/>
      <c r="AQ7" s="23"/>
      <c r="AR7" s="23"/>
      <c r="AS7" s="180" t="s">
        <v>82</v>
      </c>
      <c r="AT7" s="181"/>
      <c r="AU7" s="181"/>
      <c r="AV7" s="181"/>
      <c r="AW7" s="181"/>
      <c r="AX7" s="182"/>
      <c r="AY7" s="183"/>
      <c r="AZ7" s="184"/>
      <c r="BA7" s="185"/>
      <c r="BB7" s="180" t="s">
        <v>134</v>
      </c>
      <c r="BC7" s="181"/>
      <c r="BD7" s="181"/>
      <c r="BE7" s="181"/>
      <c r="BF7" s="181"/>
      <c r="BG7" s="182"/>
      <c r="BH7" s="23"/>
      <c r="BI7" s="23"/>
      <c r="BJ7" s="138"/>
      <c r="BK7" s="139"/>
      <c r="BL7" s="140"/>
      <c r="BM7" s="123"/>
      <c r="BN7" s="124"/>
      <c r="BO7" s="125"/>
      <c r="BP7" s="23"/>
      <c r="BQ7" s="23"/>
      <c r="BR7" s="23"/>
      <c r="BS7" s="23"/>
      <c r="BT7" s="110" t="e">
        <f>AVERAGE('Banco Filtrado'!I8:I1048576)</f>
        <v>#DIV/0!</v>
      </c>
      <c r="BU7" s="111"/>
      <c r="BV7" s="112"/>
      <c r="BW7" s="151" t="s">
        <v>100</v>
      </c>
      <c r="BX7" s="152"/>
      <c r="BY7" s="152"/>
      <c r="BZ7" s="153"/>
      <c r="CA7" s="166" t="s">
        <v>122</v>
      </c>
      <c r="CB7" s="166"/>
      <c r="CC7" s="166"/>
      <c r="CD7" s="166" t="s">
        <v>128</v>
      </c>
      <c r="CE7" s="166"/>
      <c r="CF7" s="167"/>
      <c r="CG7" s="129">
        <f>dshUltimaGrd-dshPrimeiraGrd</f>
        <v>0</v>
      </c>
      <c r="CH7" s="130"/>
      <c r="CI7" s="131"/>
      <c r="CJ7" s="23"/>
      <c r="CK7" s="23"/>
      <c r="CL7" s="23"/>
      <c r="CM7" s="23"/>
      <c r="CN7" s="23"/>
      <c r="CO7" s="98" t="e">
        <f>AVERAGE('Banco Filtrado'!J8:J1048576)</f>
        <v>#DIV/0!</v>
      </c>
      <c r="CP7" s="99"/>
      <c r="CQ7" s="100"/>
      <c r="CR7" s="151" t="s">
        <v>110</v>
      </c>
      <c r="CS7" s="152"/>
      <c r="CT7" s="152"/>
      <c r="CU7" s="153"/>
      <c r="CV7" s="154" t="s">
        <v>116</v>
      </c>
      <c r="CW7" s="152"/>
      <c r="CX7" s="152"/>
      <c r="CY7" s="152"/>
      <c r="CZ7" s="155"/>
      <c r="DA7" s="92">
        <f>dshUltimoIMC-dshPrimeiroIMC</f>
        <v>0</v>
      </c>
      <c r="DB7" s="93"/>
      <c r="DC7" s="94"/>
      <c r="DD7" s="23"/>
      <c r="DE7" s="23"/>
      <c r="DF7" s="23"/>
      <c r="DG7" s="23"/>
      <c r="DH7" s="22"/>
      <c r="DI7" s="22"/>
    </row>
    <row r="8" spans="1:113" ht="30" customHeight="1" thickBot="1" x14ac:dyDescent="0.35">
      <c r="A8" s="202"/>
      <c r="B8" s="202"/>
      <c r="C8" s="41"/>
      <c r="D8" s="41"/>
      <c r="E8" s="41"/>
      <c r="F8" s="41"/>
      <c r="G8" s="40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92">
        <f>MAX('Dados Dashboard'!E:E)</f>
        <v>0</v>
      </c>
      <c r="AI8" s="193"/>
      <c r="AJ8" s="194"/>
      <c r="AK8" s="192">
        <f>MAX('Dados Dashboard'!G:G)</f>
        <v>0</v>
      </c>
      <c r="AL8" s="193"/>
      <c r="AM8" s="194"/>
      <c r="AN8" s="192">
        <f>MAX('Dados Dashboard'!I:I)</f>
        <v>0</v>
      </c>
      <c r="AO8" s="193"/>
      <c r="AP8" s="194"/>
      <c r="AQ8" s="23"/>
      <c r="AR8" s="23"/>
      <c r="AS8" s="174" t="str">
        <f>Objetivo</f>
        <v>Emagrecer</v>
      </c>
      <c r="AT8" s="175"/>
      <c r="AU8" s="175"/>
      <c r="AV8" s="175"/>
      <c r="AW8" s="175"/>
      <c r="AX8" s="176"/>
      <c r="AY8" s="183"/>
      <c r="AZ8" s="184"/>
      <c r="BA8" s="185"/>
      <c r="BB8" s="203">
        <f>simMeta</f>
        <v>0</v>
      </c>
      <c r="BC8" s="204"/>
      <c r="BD8" s="204"/>
      <c r="BE8" s="204"/>
      <c r="BF8" s="204"/>
      <c r="BG8" s="205"/>
      <c r="BH8" s="23"/>
      <c r="BI8" s="23"/>
      <c r="BJ8" s="138"/>
      <c r="BK8" s="139"/>
      <c r="BL8" s="140"/>
      <c r="BM8" s="117" t="s">
        <v>91</v>
      </c>
      <c r="BN8" s="118"/>
      <c r="BO8" s="119"/>
      <c r="BP8" s="23"/>
      <c r="BQ8" s="23"/>
      <c r="BR8" s="23"/>
      <c r="BS8" s="23"/>
      <c r="BT8" s="113"/>
      <c r="BU8" s="114"/>
      <c r="BV8" s="115"/>
      <c r="BW8" s="161" t="s">
        <v>101</v>
      </c>
      <c r="BX8" s="162"/>
      <c r="BY8" s="162"/>
      <c r="BZ8" s="163"/>
      <c r="CA8" s="144" t="s">
        <v>123</v>
      </c>
      <c r="CB8" s="144"/>
      <c r="CC8" s="144"/>
      <c r="CD8" s="144" t="s">
        <v>129</v>
      </c>
      <c r="CE8" s="144"/>
      <c r="CF8" s="145"/>
      <c r="CG8" s="132"/>
      <c r="CH8" s="133"/>
      <c r="CI8" s="134"/>
      <c r="CJ8" s="23"/>
      <c r="CK8" s="23"/>
      <c r="CL8" s="23"/>
      <c r="CM8" s="23"/>
      <c r="CN8" s="23"/>
      <c r="CO8" s="101"/>
      <c r="CP8" s="102"/>
      <c r="CQ8" s="103"/>
      <c r="CR8" s="161" t="s">
        <v>111</v>
      </c>
      <c r="CS8" s="162"/>
      <c r="CT8" s="162"/>
      <c r="CU8" s="163"/>
      <c r="CV8" s="164" t="s">
        <v>117</v>
      </c>
      <c r="CW8" s="162"/>
      <c r="CX8" s="162"/>
      <c r="CY8" s="162"/>
      <c r="CZ8" s="165"/>
      <c r="DA8" s="95"/>
      <c r="DB8" s="96"/>
      <c r="DC8" s="97"/>
      <c r="DD8" s="23"/>
      <c r="DE8" s="23"/>
      <c r="DF8" s="23"/>
      <c r="DG8" s="23"/>
      <c r="DH8" s="22"/>
      <c r="DI8" s="22"/>
    </row>
    <row r="9" spans="1:113" ht="30" customHeight="1" thickBot="1" x14ac:dyDescent="0.35">
      <c r="A9" s="202"/>
      <c r="B9" s="202"/>
      <c r="C9" s="41"/>
      <c r="D9" s="41"/>
      <c r="E9" s="41"/>
      <c r="F9" s="41"/>
      <c r="G9" s="40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95"/>
      <c r="AI9" s="196"/>
      <c r="AJ9" s="197"/>
      <c r="AK9" s="195"/>
      <c r="AL9" s="196"/>
      <c r="AM9" s="197"/>
      <c r="AN9" s="195"/>
      <c r="AO9" s="196"/>
      <c r="AP9" s="197"/>
      <c r="AQ9" s="23"/>
      <c r="AR9" s="23"/>
      <c r="AS9" s="177"/>
      <c r="AT9" s="178"/>
      <c r="AU9" s="178"/>
      <c r="AV9" s="178"/>
      <c r="AW9" s="178"/>
      <c r="AX9" s="179"/>
      <c r="AY9" s="183"/>
      <c r="AZ9" s="184"/>
      <c r="BA9" s="185"/>
      <c r="BB9" s="206"/>
      <c r="BC9" s="207"/>
      <c r="BD9" s="207"/>
      <c r="BE9" s="207"/>
      <c r="BF9" s="207"/>
      <c r="BG9" s="208"/>
      <c r="BH9" s="23"/>
      <c r="BI9" s="23"/>
      <c r="BJ9" s="138"/>
      <c r="BK9" s="139"/>
      <c r="BL9" s="140"/>
      <c r="BM9" s="104">
        <f>dshUltimaData-dshInicioPrograma</f>
        <v>0</v>
      </c>
      <c r="BN9" s="105"/>
      <c r="BO9" s="106"/>
      <c r="BP9" s="23"/>
      <c r="BQ9" s="23"/>
      <c r="BR9" s="23"/>
      <c r="BS9" s="23"/>
      <c r="BT9" s="23"/>
      <c r="BU9" s="23"/>
      <c r="BV9" s="23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2"/>
      <c r="DI9" s="22"/>
    </row>
    <row r="10" spans="1:113" ht="30" customHeight="1" thickBot="1" x14ac:dyDescent="0.35">
      <c r="A10" s="202"/>
      <c r="B10" s="202"/>
      <c r="C10" s="41"/>
      <c r="D10" s="41"/>
      <c r="E10" s="41"/>
      <c r="F10" s="41"/>
      <c r="G10" s="40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80" t="s">
        <v>51</v>
      </c>
      <c r="AI10" s="181"/>
      <c r="AJ10" s="182"/>
      <c r="AK10" s="180" t="s">
        <v>55</v>
      </c>
      <c r="AL10" s="181"/>
      <c r="AM10" s="182"/>
      <c r="AN10" s="180" t="s">
        <v>59</v>
      </c>
      <c r="AO10" s="181"/>
      <c r="AP10" s="182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141"/>
      <c r="BK10" s="142"/>
      <c r="BL10" s="143"/>
      <c r="BM10" s="107"/>
      <c r="BN10" s="108"/>
      <c r="BO10" s="109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2"/>
      <c r="DI10" s="22"/>
    </row>
    <row r="11" spans="1:113" ht="30" customHeight="1" x14ac:dyDescent="0.3">
      <c r="A11" s="202"/>
      <c r="B11" s="202"/>
      <c r="C11" s="41"/>
      <c r="D11" s="41"/>
      <c r="E11" s="41"/>
      <c r="F11" s="41"/>
      <c r="G11" s="40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92">
        <f>MIN('Dados Dashboard'!F:F)</f>
        <v>0</v>
      </c>
      <c r="AI11" s="193"/>
      <c r="AJ11" s="194"/>
      <c r="AK11" s="192">
        <f>MIN('Dados Dashboard'!H:H)</f>
        <v>0</v>
      </c>
      <c r="AL11" s="193"/>
      <c r="AM11" s="194"/>
      <c r="AN11" s="192">
        <f>MIN('Dados Dashboard'!J:J)</f>
        <v>0</v>
      </c>
      <c r="AO11" s="193"/>
      <c r="AP11" s="194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2"/>
      <c r="DI11" s="22"/>
    </row>
    <row r="12" spans="1:113" ht="30" customHeight="1" thickBot="1" x14ac:dyDescent="0.35">
      <c r="A12" s="202"/>
      <c r="B12" s="202"/>
      <c r="C12" s="41"/>
      <c r="D12" s="41"/>
      <c r="E12" s="41"/>
      <c r="F12" s="41"/>
      <c r="G12" s="40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95"/>
      <c r="AI12" s="196"/>
      <c r="AJ12" s="197"/>
      <c r="AK12" s="195"/>
      <c r="AL12" s="196"/>
      <c r="AM12" s="197"/>
      <c r="AN12" s="195"/>
      <c r="AO12" s="196"/>
      <c r="AP12" s="197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2"/>
      <c r="DI12" s="22"/>
    </row>
    <row r="13" spans="1:113" ht="30" customHeight="1" x14ac:dyDescent="0.3">
      <c r="A13" s="202"/>
      <c r="B13" s="202"/>
      <c r="C13" s="40"/>
      <c r="D13" s="40"/>
      <c r="E13" s="40"/>
      <c r="F13" s="40"/>
      <c r="G13" s="40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80" t="s">
        <v>52</v>
      </c>
      <c r="AI13" s="181"/>
      <c r="AJ13" s="182"/>
      <c r="AK13" s="180" t="s">
        <v>56</v>
      </c>
      <c r="AL13" s="181"/>
      <c r="AM13" s="182"/>
      <c r="AN13" s="180" t="s">
        <v>60</v>
      </c>
      <c r="AO13" s="181"/>
      <c r="AP13" s="182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2"/>
      <c r="DI13" s="22"/>
    </row>
    <row r="14" spans="1:113" ht="30" customHeight="1" x14ac:dyDescent="0.3">
      <c r="A14" s="202"/>
      <c r="B14" s="202"/>
      <c r="C14" s="40"/>
      <c r="D14" s="40"/>
      <c r="E14" s="40"/>
      <c r="F14" s="40"/>
      <c r="G14" s="40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92">
        <f>MAX('Dados Dashboard'!F:F)</f>
        <v>0</v>
      </c>
      <c r="AI14" s="193"/>
      <c r="AJ14" s="194"/>
      <c r="AK14" s="192">
        <f>MAX('Dados Dashboard'!H:H)</f>
        <v>0</v>
      </c>
      <c r="AL14" s="193"/>
      <c r="AM14" s="194"/>
      <c r="AN14" s="192">
        <f>MAX('Dados Dashboard'!J:J)</f>
        <v>0</v>
      </c>
      <c r="AO14" s="193"/>
      <c r="AP14" s="194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2"/>
      <c r="DI14" s="22"/>
    </row>
    <row r="15" spans="1:113" ht="30" customHeight="1" thickBot="1" x14ac:dyDescent="0.35">
      <c r="A15" s="202"/>
      <c r="B15" s="202"/>
      <c r="C15" s="40"/>
      <c r="D15" s="40"/>
      <c r="E15" s="40"/>
      <c r="F15" s="40"/>
      <c r="G15" s="40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95"/>
      <c r="AI15" s="196"/>
      <c r="AJ15" s="197"/>
      <c r="AK15" s="195"/>
      <c r="AL15" s="196"/>
      <c r="AM15" s="197"/>
      <c r="AN15" s="195"/>
      <c r="AO15" s="196"/>
      <c r="AP15" s="197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2"/>
      <c r="DI15" s="22"/>
    </row>
    <row r="16" spans="1:113" s="22" customFormat="1" ht="30" customHeight="1" x14ac:dyDescent="0.3"/>
    <row r="17" ht="30" hidden="1" customHeight="1" x14ac:dyDescent="0.3"/>
    <row r="18" ht="30" hidden="1" customHeight="1" x14ac:dyDescent="0.3"/>
    <row r="19" ht="30" hidden="1" customHeight="1" x14ac:dyDescent="0.3"/>
    <row r="20" ht="30" hidden="1" customHeight="1" x14ac:dyDescent="0.3"/>
    <row r="21" ht="30" hidden="1" customHeight="1" x14ac:dyDescent="0.3"/>
    <row r="22" ht="30" hidden="1" customHeight="1" x14ac:dyDescent="0.3"/>
    <row r="23" ht="30" hidden="1" customHeight="1" x14ac:dyDescent="0.3"/>
    <row r="24" ht="30" hidden="1" customHeight="1" x14ac:dyDescent="0.3"/>
    <row r="25" ht="30" hidden="1" customHeight="1" x14ac:dyDescent="0.3"/>
    <row r="26" ht="30" hidden="1" customHeight="1" x14ac:dyDescent="0.3"/>
    <row r="27" ht="30" hidden="1" customHeight="1" x14ac:dyDescent="0.3"/>
    <row r="28" ht="30" hidden="1" customHeight="1" x14ac:dyDescent="0.3"/>
    <row r="29" ht="30" hidden="1" customHeight="1" x14ac:dyDescent="0.3"/>
    <row r="30" ht="30" hidden="1" customHeight="1" x14ac:dyDescent="0.3"/>
    <row r="31" ht="30" hidden="1" customHeight="1" x14ac:dyDescent="0.3"/>
    <row r="32" ht="30" hidden="1" customHeight="1" x14ac:dyDescent="0.3"/>
    <row r="33" ht="30" hidden="1" customHeight="1" x14ac:dyDescent="0.3"/>
    <row r="34" ht="30" hidden="1" customHeight="1" x14ac:dyDescent="0.3"/>
    <row r="35" ht="30" hidden="1" customHeight="1" x14ac:dyDescent="0.3"/>
    <row r="36" ht="30" hidden="1" customHeight="1" x14ac:dyDescent="0.3"/>
    <row r="37" ht="30" hidden="1" customHeight="1" x14ac:dyDescent="0.3"/>
    <row r="38" ht="30" hidden="1" customHeight="1" x14ac:dyDescent="0.3"/>
    <row r="39" ht="30" hidden="1" customHeight="1" x14ac:dyDescent="0.3"/>
    <row r="40" ht="30" hidden="1" customHeight="1" x14ac:dyDescent="0.3"/>
    <row r="41" ht="30" hidden="1" customHeight="1" x14ac:dyDescent="0.3"/>
    <row r="42" ht="30" hidden="1" customHeight="1" x14ac:dyDescent="0.3"/>
    <row r="43" ht="30" hidden="1" customHeight="1" x14ac:dyDescent="0.3"/>
    <row r="44" ht="30" hidden="1" customHeight="1" x14ac:dyDescent="0.3"/>
    <row r="45" ht="30" hidden="1" customHeight="1" x14ac:dyDescent="0.3"/>
    <row r="46" ht="30" hidden="1" customHeight="1" x14ac:dyDescent="0.3"/>
    <row r="47" ht="30" hidden="1" customHeight="1" x14ac:dyDescent="0.3"/>
    <row r="48" ht="30" hidden="1" customHeight="1" x14ac:dyDescent="0.3"/>
    <row r="49" ht="30" hidden="1" customHeight="1" x14ac:dyDescent="0.3"/>
    <row r="50" ht="30" hidden="1" customHeight="1" x14ac:dyDescent="0.3"/>
  </sheetData>
  <sheetProtection selectLockedCells="1"/>
  <mergeCells count="102">
    <mergeCell ref="AN11:AP12"/>
    <mergeCell ref="AH13:AJ13"/>
    <mergeCell ref="AK13:AM13"/>
    <mergeCell ref="AN13:AP13"/>
    <mergeCell ref="AH14:AJ15"/>
    <mergeCell ref="AK14:AM15"/>
    <mergeCell ref="AN14:AP15"/>
    <mergeCell ref="A2:B15"/>
    <mergeCell ref="BB7:BG7"/>
    <mergeCell ref="BB8:BG9"/>
    <mergeCell ref="BB4:BG4"/>
    <mergeCell ref="BB5:BG6"/>
    <mergeCell ref="AN5:AP6"/>
    <mergeCell ref="AH7:AJ7"/>
    <mergeCell ref="AK7:AM7"/>
    <mergeCell ref="AH11:AJ12"/>
    <mergeCell ref="AK11:AM12"/>
    <mergeCell ref="AH8:AJ9"/>
    <mergeCell ref="AK8:AM9"/>
    <mergeCell ref="AN8:AP9"/>
    <mergeCell ref="AH10:AJ10"/>
    <mergeCell ref="AK10:AM10"/>
    <mergeCell ref="AN10:AP10"/>
    <mergeCell ref="AS4:AX4"/>
    <mergeCell ref="AS5:AX6"/>
    <mergeCell ref="AS7:AX7"/>
    <mergeCell ref="AS8:AX9"/>
    <mergeCell ref="AY4:BA9"/>
    <mergeCell ref="AS2:BG3"/>
    <mergeCell ref="Z2:AB2"/>
    <mergeCell ref="Z3:AB4"/>
    <mergeCell ref="Z5:AB5"/>
    <mergeCell ref="Z6:AB7"/>
    <mergeCell ref="AC2:AE2"/>
    <mergeCell ref="AC3:AE4"/>
    <mergeCell ref="AC5:AE5"/>
    <mergeCell ref="AC6:AE7"/>
    <mergeCell ref="AH2:AP3"/>
    <mergeCell ref="AN7:AP7"/>
    <mergeCell ref="AH4:AJ4"/>
    <mergeCell ref="AK4:AM4"/>
    <mergeCell ref="AN4:AP4"/>
    <mergeCell ref="AH5:AJ6"/>
    <mergeCell ref="AK5:AM6"/>
    <mergeCell ref="CD3:CF3"/>
    <mergeCell ref="BW4:BZ4"/>
    <mergeCell ref="CA4:CC4"/>
    <mergeCell ref="CD4:CF4"/>
    <mergeCell ref="BW8:BZ8"/>
    <mergeCell ref="CA8:CC8"/>
    <mergeCell ref="BW2:BZ2"/>
    <mergeCell ref="CA2:CC2"/>
    <mergeCell ref="BW5:BZ5"/>
    <mergeCell ref="CA5:CC5"/>
    <mergeCell ref="BJ2:BL10"/>
    <mergeCell ref="CD8:CF8"/>
    <mergeCell ref="CR2:CU2"/>
    <mergeCell ref="CV2:CZ2"/>
    <mergeCell ref="CR3:CU3"/>
    <mergeCell ref="CV3:CZ3"/>
    <mergeCell ref="CR4:CU4"/>
    <mergeCell ref="CV4:CZ4"/>
    <mergeCell ref="CR5:CU5"/>
    <mergeCell ref="CV5:CZ5"/>
    <mergeCell ref="CR6:CU6"/>
    <mergeCell ref="CV6:CZ6"/>
    <mergeCell ref="CR7:CU7"/>
    <mergeCell ref="CV7:CZ7"/>
    <mergeCell ref="CR8:CU8"/>
    <mergeCell ref="CV8:CZ8"/>
    <mergeCell ref="CD5:CF5"/>
    <mergeCell ref="BW6:BZ6"/>
    <mergeCell ref="CA6:CC6"/>
    <mergeCell ref="CD6:CF6"/>
    <mergeCell ref="BW7:BZ7"/>
    <mergeCell ref="CA7:CC7"/>
    <mergeCell ref="CD7:CF7"/>
    <mergeCell ref="CD2:CF2"/>
    <mergeCell ref="DA2:DC2"/>
    <mergeCell ref="DA6:DC6"/>
    <mergeCell ref="DA3:DC4"/>
    <mergeCell ref="DA7:DC8"/>
    <mergeCell ref="CO6:CQ6"/>
    <mergeCell ref="CO7:CQ8"/>
    <mergeCell ref="BM9:BO10"/>
    <mergeCell ref="BT2:BV2"/>
    <mergeCell ref="BT3:BV4"/>
    <mergeCell ref="BT6:BV6"/>
    <mergeCell ref="BT7:BV8"/>
    <mergeCell ref="BM2:BO2"/>
    <mergeCell ref="BM3:BO4"/>
    <mergeCell ref="BM5:BO5"/>
    <mergeCell ref="BM6:BO7"/>
    <mergeCell ref="BM8:BO8"/>
    <mergeCell ref="CG2:CI2"/>
    <mergeCell ref="CG3:CI4"/>
    <mergeCell ref="CG6:CI6"/>
    <mergeCell ref="CG7:CI8"/>
    <mergeCell ref="CO2:CQ2"/>
    <mergeCell ref="CO3:CQ4"/>
    <mergeCell ref="BW3:BZ3"/>
    <mergeCell ref="CA3:C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MenuBanco">
                <anchor moveWithCells="1" sizeWithCells="1">
                  <from>
                    <xdr:col>2</xdr:col>
                    <xdr:colOff>68580</xdr:colOff>
                    <xdr:row>4</xdr:row>
                    <xdr:rowOff>342900</xdr:rowOff>
                  </from>
                  <to>
                    <xdr:col>5</xdr:col>
                    <xdr:colOff>266700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MenuInsereDados">
                <anchor moveWithCells="1" sizeWithCells="1">
                  <from>
                    <xdr:col>2</xdr:col>
                    <xdr:colOff>76200</xdr:colOff>
                    <xdr:row>6</xdr:row>
                    <xdr:rowOff>190500</xdr:rowOff>
                  </from>
                  <to>
                    <xdr:col>5</xdr:col>
                    <xdr:colOff>281940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MenuSimular">
                <anchor moveWithCells="1" sizeWithCells="1">
                  <from>
                    <xdr:col>2</xdr:col>
                    <xdr:colOff>76200</xdr:colOff>
                    <xdr:row>8</xdr:row>
                    <xdr:rowOff>30480</xdr:rowOff>
                  </from>
                  <to>
                    <xdr:col>5</xdr:col>
                    <xdr:colOff>281940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MenuDadosFixos">
                <anchor moveWithCells="1" sizeWithCells="1">
                  <from>
                    <xdr:col>2</xdr:col>
                    <xdr:colOff>76200</xdr:colOff>
                    <xdr:row>9</xdr:row>
                    <xdr:rowOff>289560</xdr:rowOff>
                  </from>
                  <to>
                    <xdr:col>5</xdr:col>
                    <xdr:colOff>281940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8" name="Button 10">
              <controlPr defaultSize="0" print="0" autoFill="0" autoPict="0" macro="[0]!TabelaSimulaçao">
                <anchor moveWithCells="1" sizeWithCells="1">
                  <from>
                    <xdr:col>50</xdr:col>
                    <xdr:colOff>144780</xdr:colOff>
                    <xdr:row>3</xdr:row>
                    <xdr:rowOff>350520</xdr:rowOff>
                  </from>
                  <to>
                    <xdr:col>52</xdr:col>
                    <xdr:colOff>220980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B20D4-F200-40E9-909F-F1B41B0AC81E}">
  <sheetPr codeName="Planilha14"/>
  <dimension ref="A1:AZ19"/>
  <sheetViews>
    <sheetView workbookViewId="0">
      <selection activeCell="D6" sqref="D6"/>
    </sheetView>
  </sheetViews>
  <sheetFormatPr defaultRowHeight="14.4" zeroHeight="1" x14ac:dyDescent="0.3"/>
  <cols>
    <col min="1" max="8" width="12.21875" style="23" customWidth="1"/>
    <col min="9" max="9" width="14.21875" style="23" bestFit="1" customWidth="1"/>
    <col min="10" max="10" width="12.21875" style="23" customWidth="1"/>
    <col min="11" max="11" width="12.88671875" style="23" bestFit="1" customWidth="1"/>
    <col min="12" max="51" width="12.21875" style="23" customWidth="1"/>
    <col min="52" max="52" width="10.5546875" style="23" bestFit="1" customWidth="1"/>
    <col min="53" max="16384" width="8.88671875" style="23"/>
  </cols>
  <sheetData>
    <row r="1" spans="1:52" x14ac:dyDescent="0.3">
      <c r="B1" s="215" t="s">
        <v>79</v>
      </c>
      <c r="C1" s="216"/>
      <c r="D1" s="216"/>
      <c r="E1" s="216"/>
      <c r="F1" s="216"/>
      <c r="G1" s="216"/>
      <c r="H1" s="216"/>
      <c r="I1" s="216"/>
      <c r="J1" s="216"/>
      <c r="K1" s="216"/>
      <c r="L1" s="217"/>
    </row>
    <row r="2" spans="1:52" ht="15" thickBot="1" x14ac:dyDescent="0.35">
      <c r="B2" s="218"/>
      <c r="C2" s="219"/>
      <c r="D2" s="219"/>
      <c r="E2" s="219"/>
      <c r="F2" s="219"/>
      <c r="G2" s="219"/>
      <c r="H2" s="219"/>
      <c r="I2" s="219"/>
      <c r="J2" s="219"/>
      <c r="K2" s="219"/>
      <c r="L2" s="220"/>
    </row>
    <row r="3" spans="1:52" ht="15" thickBot="1" x14ac:dyDescent="0.35">
      <c r="B3" s="47"/>
      <c r="C3" s="48"/>
      <c r="D3" s="48"/>
      <c r="E3" s="48"/>
      <c r="F3" s="48"/>
      <c r="G3" s="48"/>
      <c r="H3" s="48"/>
      <c r="I3" s="48"/>
      <c r="J3" s="48"/>
      <c r="K3" s="48"/>
      <c r="L3" s="46"/>
      <c r="M3" s="54"/>
      <c r="N3" s="55"/>
      <c r="O3" s="55"/>
      <c r="P3" s="55"/>
    </row>
    <row r="4" spans="1:52" ht="15" thickBot="1" x14ac:dyDescent="0.35">
      <c r="B4" s="227" t="s">
        <v>69</v>
      </c>
      <c r="C4" s="224"/>
      <c r="D4" s="70"/>
      <c r="E4" s="24"/>
      <c r="F4" s="24"/>
      <c r="G4" s="24"/>
      <c r="H4" s="24"/>
      <c r="L4" s="26"/>
      <c r="M4" s="55"/>
      <c r="N4" s="55"/>
      <c r="O4" s="55"/>
      <c r="P4" s="55"/>
    </row>
    <row r="5" spans="1:52" ht="15" thickBot="1" x14ac:dyDescent="0.35">
      <c r="B5" s="25"/>
      <c r="C5" s="24"/>
      <c r="D5" s="38"/>
      <c r="E5" s="24"/>
      <c r="F5" s="24"/>
      <c r="G5" s="24"/>
      <c r="H5" s="24"/>
      <c r="I5" s="226" t="s">
        <v>93</v>
      </c>
      <c r="J5" s="226"/>
      <c r="K5" s="226"/>
      <c r="L5" s="26"/>
      <c r="M5" s="55"/>
      <c r="N5" s="55"/>
      <c r="O5" s="55"/>
      <c r="P5" s="55"/>
    </row>
    <row r="6" spans="1:52" ht="15" thickBot="1" x14ac:dyDescent="0.35">
      <c r="B6" s="227" t="s">
        <v>70</v>
      </c>
      <c r="C6" s="224"/>
      <c r="D6" s="4"/>
      <c r="E6" s="24" t="s">
        <v>15</v>
      </c>
      <c r="F6" s="24"/>
      <c r="G6" s="24"/>
      <c r="H6" s="24"/>
      <c r="I6" s="49" t="s">
        <v>74</v>
      </c>
      <c r="J6" s="49" t="s">
        <v>62</v>
      </c>
      <c r="K6" s="49" t="s">
        <v>75</v>
      </c>
      <c r="L6" s="26"/>
      <c r="M6" s="68">
        <v>1.2500000000000001E-2</v>
      </c>
      <c r="N6" s="55" t="str">
        <f>IFERROR(INDEX(PesoFiltrado,(MATCH(DataReferencia,DataFiltrada,0)-30)),"")</f>
        <v/>
      </c>
      <c r="O6" s="55"/>
      <c r="P6" s="55"/>
    </row>
    <row r="7" spans="1:52" ht="15" thickBot="1" x14ac:dyDescent="0.35">
      <c r="B7" s="25"/>
      <c r="C7" s="24"/>
      <c r="D7" s="38"/>
      <c r="E7" s="24"/>
      <c r="F7" s="24"/>
      <c r="G7" s="24"/>
      <c r="H7" s="24"/>
      <c r="I7" s="50" t="s">
        <v>63</v>
      </c>
      <c r="J7" s="56" t="str">
        <f>IFERROR(1-(LastData/DataPenultima), "(Não calculado)")</f>
        <v>(Não calculado)</v>
      </c>
      <c r="K7" s="50" t="s">
        <v>63</v>
      </c>
      <c r="L7" s="26"/>
      <c r="M7" s="68">
        <v>7.4999999999999997E-3</v>
      </c>
      <c r="N7" s="55" t="e">
        <f>INDEX(PesoFiltrado,MATCH(DataReferencia,DataFiltrada,0))</f>
        <v>#N/A</v>
      </c>
      <c r="O7" s="55"/>
      <c r="P7" s="55"/>
    </row>
    <row r="8" spans="1:52" ht="15" thickBot="1" x14ac:dyDescent="0.35">
      <c r="B8" s="227" t="s">
        <v>71</v>
      </c>
      <c r="C8" s="224"/>
      <c r="D8" s="67" t="s">
        <v>63</v>
      </c>
      <c r="E8" s="24"/>
      <c r="F8" s="52" t="s">
        <v>72</v>
      </c>
      <c r="G8" s="67" t="s">
        <v>73</v>
      </c>
      <c r="H8" s="53"/>
      <c r="I8" s="50" t="s">
        <v>64</v>
      </c>
      <c r="J8" s="51">
        <f>IF(Objetivo="Emagrecer",$M6,$M6*-1)</f>
        <v>1.2500000000000001E-2</v>
      </c>
      <c r="K8" s="50" t="s">
        <v>76</v>
      </c>
      <c r="L8" s="26"/>
      <c r="M8" s="68">
        <v>2.5000000000000001E-3</v>
      </c>
      <c r="N8" s="55" t="str">
        <f>INDEX(J7:J10,MATCH(Indice,I7:I10,0))</f>
        <v>(Não calculado)</v>
      </c>
      <c r="O8" s="55"/>
      <c r="P8" s="55"/>
    </row>
    <row r="9" spans="1:52" x14ac:dyDescent="0.3">
      <c r="B9" s="25"/>
      <c r="C9" s="24"/>
      <c r="D9" s="24"/>
      <c r="E9" s="24"/>
      <c r="F9" s="24"/>
      <c r="G9" s="24"/>
      <c r="H9" s="24"/>
      <c r="I9" s="50" t="s">
        <v>65</v>
      </c>
      <c r="J9" s="51">
        <f>IF(Objetivo="Emagrecer",$M7,$M7*-1)</f>
        <v>7.4999999999999997E-3</v>
      </c>
      <c r="K9" s="50" t="s">
        <v>77</v>
      </c>
      <c r="L9" s="26"/>
      <c r="M9" s="55"/>
      <c r="N9" s="55"/>
      <c r="O9" s="55"/>
      <c r="P9" s="55"/>
    </row>
    <row r="10" spans="1:52" ht="15" thickBot="1" x14ac:dyDescent="0.35">
      <c r="B10" s="25"/>
      <c r="C10" s="223" t="e">
        <f>IF(Atingiu=45876,"Redefina sua meta ou seu índice","")</f>
        <v>#N/A</v>
      </c>
      <c r="D10" s="223"/>
      <c r="E10" s="223"/>
      <c r="F10" s="223"/>
      <c r="G10" s="24"/>
      <c r="H10" s="24"/>
      <c r="I10" s="50" t="s">
        <v>66</v>
      </c>
      <c r="J10" s="51">
        <f>IF(Objetivo="Emagrecer",$M8,$M8*-1)</f>
        <v>2.5000000000000001E-3</v>
      </c>
      <c r="K10" s="50" t="s">
        <v>78</v>
      </c>
      <c r="L10" s="26"/>
      <c r="M10" s="55"/>
      <c r="N10" s="55" t="e">
        <f>INDEX(C16:AZ16,MATCH(D6,C17:AZ17,1))</f>
        <v>#N/A</v>
      </c>
      <c r="O10" s="55"/>
      <c r="P10" s="55"/>
    </row>
    <row r="11" spans="1:52" ht="15" thickBot="1" x14ac:dyDescent="0.35">
      <c r="B11" s="25"/>
      <c r="C11" s="224" t="s">
        <v>83</v>
      </c>
      <c r="D11" s="225"/>
      <c r="E11" s="221" t="e">
        <f>IF(Objetivo="Emagrecer",EmagrecerData,EngordarData)</f>
        <v>#N/A</v>
      </c>
      <c r="F11" s="222"/>
      <c r="G11" s="24"/>
      <c r="H11" s="24"/>
      <c r="I11" s="24"/>
      <c r="J11" s="24"/>
      <c r="K11" s="24"/>
      <c r="L11" s="26"/>
      <c r="M11" s="55"/>
      <c r="N11" s="55" t="e">
        <f>INDEX(C16:AZ16,MATCH(D6,C17:AZ17,-1))</f>
        <v>#N/A</v>
      </c>
      <c r="O11" s="55"/>
      <c r="P11" s="55"/>
    </row>
    <row r="12" spans="1:52" ht="15" thickBot="1" x14ac:dyDescent="0.35">
      <c r="B12" s="27"/>
      <c r="C12" s="28"/>
      <c r="D12" s="28"/>
      <c r="E12" s="28"/>
      <c r="F12" s="28"/>
      <c r="G12" s="28"/>
      <c r="H12" s="28"/>
      <c r="I12" s="28"/>
      <c r="J12" s="28"/>
      <c r="K12" s="28"/>
      <c r="L12" s="29"/>
      <c r="M12" s="55"/>
      <c r="N12" s="55"/>
      <c r="O12" s="55"/>
      <c r="P12" s="55"/>
    </row>
    <row r="13" spans="1:52" x14ac:dyDescent="0.3"/>
    <row r="14" spans="1:52" x14ac:dyDescent="0.3"/>
    <row r="15" spans="1:52" s="22" customFormat="1" ht="15" thickBot="1" x14ac:dyDescent="0.35"/>
    <row r="16" spans="1:52" ht="18" thickBot="1" x14ac:dyDescent="0.4">
      <c r="A16" s="22"/>
      <c r="B16" s="45" t="s">
        <v>0</v>
      </c>
      <c r="C16" s="42">
        <f>DataReferencia</f>
        <v>0</v>
      </c>
      <c r="D16" s="42">
        <f>EDATE(C16,1)</f>
        <v>31</v>
      </c>
      <c r="E16" s="42">
        <f t="shared" ref="E16:AY16" si="0">EDATE(D16,1)</f>
        <v>59</v>
      </c>
      <c r="F16" s="42">
        <f t="shared" si="0"/>
        <v>88</v>
      </c>
      <c r="G16" s="42">
        <f t="shared" si="0"/>
        <v>119</v>
      </c>
      <c r="H16" s="42">
        <f t="shared" si="0"/>
        <v>149</v>
      </c>
      <c r="I16" s="42">
        <f t="shared" si="0"/>
        <v>180</v>
      </c>
      <c r="J16" s="42">
        <f>EDATE(I16,1)</f>
        <v>210</v>
      </c>
      <c r="K16" s="42">
        <f t="shared" si="0"/>
        <v>241</v>
      </c>
      <c r="L16" s="42">
        <f t="shared" si="0"/>
        <v>272</v>
      </c>
      <c r="M16" s="42">
        <f t="shared" si="0"/>
        <v>302</v>
      </c>
      <c r="N16" s="42">
        <f t="shared" si="0"/>
        <v>333</v>
      </c>
      <c r="O16" s="42">
        <f t="shared" si="0"/>
        <v>363</v>
      </c>
      <c r="P16" s="42">
        <f t="shared" si="0"/>
        <v>394</v>
      </c>
      <c r="Q16" s="42">
        <f t="shared" si="0"/>
        <v>425</v>
      </c>
      <c r="R16" s="42">
        <f t="shared" si="0"/>
        <v>453</v>
      </c>
      <c r="S16" s="42">
        <f t="shared" si="0"/>
        <v>484</v>
      </c>
      <c r="T16" s="42">
        <f t="shared" si="0"/>
        <v>514</v>
      </c>
      <c r="U16" s="42">
        <f t="shared" si="0"/>
        <v>545</v>
      </c>
      <c r="V16" s="42">
        <f t="shared" si="0"/>
        <v>575</v>
      </c>
      <c r="W16" s="42">
        <f t="shared" si="0"/>
        <v>606</v>
      </c>
      <c r="X16" s="42">
        <f t="shared" si="0"/>
        <v>637</v>
      </c>
      <c r="Y16" s="42">
        <f t="shared" si="0"/>
        <v>667</v>
      </c>
      <c r="Z16" s="42">
        <f t="shared" si="0"/>
        <v>698</v>
      </c>
      <c r="AA16" s="42">
        <f t="shared" si="0"/>
        <v>728</v>
      </c>
      <c r="AB16" s="42">
        <f t="shared" si="0"/>
        <v>759</v>
      </c>
      <c r="AC16" s="42">
        <f t="shared" si="0"/>
        <v>790</v>
      </c>
      <c r="AD16" s="42">
        <f t="shared" si="0"/>
        <v>818</v>
      </c>
      <c r="AE16" s="42">
        <f t="shared" si="0"/>
        <v>849</v>
      </c>
      <c r="AF16" s="42">
        <f t="shared" si="0"/>
        <v>879</v>
      </c>
      <c r="AG16" s="42">
        <f t="shared" si="0"/>
        <v>910</v>
      </c>
      <c r="AH16" s="42">
        <f t="shared" si="0"/>
        <v>940</v>
      </c>
      <c r="AI16" s="42">
        <f t="shared" si="0"/>
        <v>971</v>
      </c>
      <c r="AJ16" s="42">
        <f t="shared" si="0"/>
        <v>1002</v>
      </c>
      <c r="AK16" s="42">
        <f t="shared" si="0"/>
        <v>1032</v>
      </c>
      <c r="AL16" s="42">
        <f t="shared" si="0"/>
        <v>1063</v>
      </c>
      <c r="AM16" s="42">
        <f t="shared" si="0"/>
        <v>1093</v>
      </c>
      <c r="AN16" s="42">
        <f t="shared" si="0"/>
        <v>1124</v>
      </c>
      <c r="AO16" s="42">
        <f t="shared" si="0"/>
        <v>1155</v>
      </c>
      <c r="AP16" s="42">
        <f t="shared" si="0"/>
        <v>1183</v>
      </c>
      <c r="AQ16" s="42">
        <f t="shared" si="0"/>
        <v>1214</v>
      </c>
      <c r="AR16" s="42">
        <f t="shared" si="0"/>
        <v>1244</v>
      </c>
      <c r="AS16" s="42">
        <f t="shared" si="0"/>
        <v>1275</v>
      </c>
      <c r="AT16" s="42">
        <f t="shared" si="0"/>
        <v>1305</v>
      </c>
      <c r="AU16" s="42">
        <f t="shared" si="0"/>
        <v>1336</v>
      </c>
      <c r="AV16" s="42">
        <f t="shared" si="0"/>
        <v>1367</v>
      </c>
      <c r="AW16" s="42">
        <f t="shared" si="0"/>
        <v>1397</v>
      </c>
      <c r="AX16" s="42">
        <f t="shared" si="0"/>
        <v>1428</v>
      </c>
      <c r="AY16" s="42">
        <f t="shared" si="0"/>
        <v>1458</v>
      </c>
      <c r="AZ16" s="57"/>
    </row>
    <row r="17" spans="1:52" ht="18.600000000000001" thickTop="1" thickBot="1" x14ac:dyDescent="0.4">
      <c r="A17" s="22"/>
      <c r="B17" s="45" t="s">
        <v>67</v>
      </c>
      <c r="C17" s="44" t="e">
        <f>LastData</f>
        <v>#N/A</v>
      </c>
      <c r="D17" s="44" t="e">
        <f>C$17-(C$17*C$18)</f>
        <v>#N/A</v>
      </c>
      <c r="E17" s="44" t="e">
        <f t="shared" ref="E17:AY17" si="1">D$17-(D$17*D$18)</f>
        <v>#N/A</v>
      </c>
      <c r="F17" s="44" t="e">
        <f t="shared" si="1"/>
        <v>#N/A</v>
      </c>
      <c r="G17" s="44" t="e">
        <f t="shared" si="1"/>
        <v>#N/A</v>
      </c>
      <c r="H17" s="44" t="e">
        <f t="shared" si="1"/>
        <v>#N/A</v>
      </c>
      <c r="I17" s="44" t="e">
        <f t="shared" si="1"/>
        <v>#N/A</v>
      </c>
      <c r="J17" s="44" t="e">
        <f>I$17-(I$17*I$18)</f>
        <v>#N/A</v>
      </c>
      <c r="K17" s="44" t="e">
        <f t="shared" si="1"/>
        <v>#N/A</v>
      </c>
      <c r="L17" s="44" t="e">
        <f t="shared" si="1"/>
        <v>#N/A</v>
      </c>
      <c r="M17" s="44" t="e">
        <f t="shared" si="1"/>
        <v>#N/A</v>
      </c>
      <c r="N17" s="44" t="e">
        <f t="shared" si="1"/>
        <v>#N/A</v>
      </c>
      <c r="O17" s="44" t="e">
        <f t="shared" si="1"/>
        <v>#N/A</v>
      </c>
      <c r="P17" s="44" t="e">
        <f t="shared" si="1"/>
        <v>#N/A</v>
      </c>
      <c r="Q17" s="44" t="e">
        <f t="shared" si="1"/>
        <v>#N/A</v>
      </c>
      <c r="R17" s="44" t="e">
        <f t="shared" si="1"/>
        <v>#N/A</v>
      </c>
      <c r="S17" s="44" t="e">
        <f t="shared" si="1"/>
        <v>#N/A</v>
      </c>
      <c r="T17" s="44" t="e">
        <f t="shared" si="1"/>
        <v>#N/A</v>
      </c>
      <c r="U17" s="44" t="e">
        <f t="shared" si="1"/>
        <v>#N/A</v>
      </c>
      <c r="V17" s="44" t="e">
        <f t="shared" si="1"/>
        <v>#N/A</v>
      </c>
      <c r="W17" s="44" t="e">
        <f t="shared" si="1"/>
        <v>#N/A</v>
      </c>
      <c r="X17" s="44" t="e">
        <f t="shared" si="1"/>
        <v>#N/A</v>
      </c>
      <c r="Y17" s="44" t="e">
        <f t="shared" si="1"/>
        <v>#N/A</v>
      </c>
      <c r="Z17" s="44" t="e">
        <f t="shared" si="1"/>
        <v>#N/A</v>
      </c>
      <c r="AA17" s="44" t="e">
        <f t="shared" si="1"/>
        <v>#N/A</v>
      </c>
      <c r="AB17" s="44" t="e">
        <f t="shared" si="1"/>
        <v>#N/A</v>
      </c>
      <c r="AC17" s="44" t="e">
        <f t="shared" si="1"/>
        <v>#N/A</v>
      </c>
      <c r="AD17" s="44" t="e">
        <f t="shared" si="1"/>
        <v>#N/A</v>
      </c>
      <c r="AE17" s="44" t="e">
        <f t="shared" si="1"/>
        <v>#N/A</v>
      </c>
      <c r="AF17" s="44" t="e">
        <f t="shared" si="1"/>
        <v>#N/A</v>
      </c>
      <c r="AG17" s="44" t="e">
        <f t="shared" si="1"/>
        <v>#N/A</v>
      </c>
      <c r="AH17" s="44" t="e">
        <f t="shared" si="1"/>
        <v>#N/A</v>
      </c>
      <c r="AI17" s="44" t="e">
        <f t="shared" si="1"/>
        <v>#N/A</v>
      </c>
      <c r="AJ17" s="44" t="e">
        <f t="shared" si="1"/>
        <v>#N/A</v>
      </c>
      <c r="AK17" s="44" t="e">
        <f t="shared" si="1"/>
        <v>#N/A</v>
      </c>
      <c r="AL17" s="44" t="e">
        <f t="shared" si="1"/>
        <v>#N/A</v>
      </c>
      <c r="AM17" s="44" t="e">
        <f t="shared" si="1"/>
        <v>#N/A</v>
      </c>
      <c r="AN17" s="44" t="e">
        <f t="shared" si="1"/>
        <v>#N/A</v>
      </c>
      <c r="AO17" s="44" t="e">
        <f t="shared" si="1"/>
        <v>#N/A</v>
      </c>
      <c r="AP17" s="44" t="e">
        <f t="shared" si="1"/>
        <v>#N/A</v>
      </c>
      <c r="AQ17" s="44" t="e">
        <f t="shared" si="1"/>
        <v>#N/A</v>
      </c>
      <c r="AR17" s="44" t="e">
        <f t="shared" si="1"/>
        <v>#N/A</v>
      </c>
      <c r="AS17" s="44" t="e">
        <f t="shared" si="1"/>
        <v>#N/A</v>
      </c>
      <c r="AT17" s="44" t="e">
        <f t="shared" si="1"/>
        <v>#N/A</v>
      </c>
      <c r="AU17" s="44" t="e">
        <f t="shared" si="1"/>
        <v>#N/A</v>
      </c>
      <c r="AV17" s="44" t="e">
        <f t="shared" si="1"/>
        <v>#N/A</v>
      </c>
      <c r="AW17" s="44" t="e">
        <f t="shared" si="1"/>
        <v>#N/A</v>
      </c>
      <c r="AX17" s="44" t="e">
        <f t="shared" si="1"/>
        <v>#N/A</v>
      </c>
      <c r="AY17" s="44" t="e">
        <f t="shared" si="1"/>
        <v>#N/A</v>
      </c>
      <c r="AZ17" s="58"/>
    </row>
    <row r="18" spans="1:52" ht="18.600000000000001" thickTop="1" thickBot="1" x14ac:dyDescent="0.4">
      <c r="A18" s="22"/>
      <c r="B18" s="45" t="s">
        <v>68</v>
      </c>
      <c r="C18" s="43" t="str">
        <f>N8</f>
        <v>(Não calculado)</v>
      </c>
      <c r="D18" s="43" t="str">
        <f>C18</f>
        <v>(Não calculado)</v>
      </c>
      <c r="E18" s="43" t="str">
        <f t="shared" ref="E18:AY18" si="2">D18</f>
        <v>(Não calculado)</v>
      </c>
      <c r="F18" s="43" t="str">
        <f t="shared" si="2"/>
        <v>(Não calculado)</v>
      </c>
      <c r="G18" s="43" t="str">
        <f t="shared" si="2"/>
        <v>(Não calculado)</v>
      </c>
      <c r="H18" s="43" t="str">
        <f t="shared" si="2"/>
        <v>(Não calculado)</v>
      </c>
      <c r="I18" s="43" t="str">
        <f t="shared" si="2"/>
        <v>(Não calculado)</v>
      </c>
      <c r="J18" s="43" t="str">
        <f>I18</f>
        <v>(Não calculado)</v>
      </c>
      <c r="K18" s="43" t="str">
        <f t="shared" si="2"/>
        <v>(Não calculado)</v>
      </c>
      <c r="L18" s="43" t="str">
        <f t="shared" si="2"/>
        <v>(Não calculado)</v>
      </c>
      <c r="M18" s="43" t="str">
        <f t="shared" si="2"/>
        <v>(Não calculado)</v>
      </c>
      <c r="N18" s="43" t="str">
        <f t="shared" si="2"/>
        <v>(Não calculado)</v>
      </c>
      <c r="O18" s="43" t="str">
        <f t="shared" si="2"/>
        <v>(Não calculado)</v>
      </c>
      <c r="P18" s="43" t="str">
        <f t="shared" si="2"/>
        <v>(Não calculado)</v>
      </c>
      <c r="Q18" s="43" t="str">
        <f t="shared" si="2"/>
        <v>(Não calculado)</v>
      </c>
      <c r="R18" s="43" t="str">
        <f t="shared" si="2"/>
        <v>(Não calculado)</v>
      </c>
      <c r="S18" s="43" t="str">
        <f t="shared" si="2"/>
        <v>(Não calculado)</v>
      </c>
      <c r="T18" s="43" t="str">
        <f t="shared" si="2"/>
        <v>(Não calculado)</v>
      </c>
      <c r="U18" s="43" t="str">
        <f t="shared" si="2"/>
        <v>(Não calculado)</v>
      </c>
      <c r="V18" s="43" t="str">
        <f t="shared" si="2"/>
        <v>(Não calculado)</v>
      </c>
      <c r="W18" s="43" t="str">
        <f t="shared" si="2"/>
        <v>(Não calculado)</v>
      </c>
      <c r="X18" s="43" t="str">
        <f t="shared" si="2"/>
        <v>(Não calculado)</v>
      </c>
      <c r="Y18" s="43" t="str">
        <f t="shared" si="2"/>
        <v>(Não calculado)</v>
      </c>
      <c r="Z18" s="43" t="str">
        <f t="shared" si="2"/>
        <v>(Não calculado)</v>
      </c>
      <c r="AA18" s="43" t="str">
        <f t="shared" si="2"/>
        <v>(Não calculado)</v>
      </c>
      <c r="AB18" s="43" t="str">
        <f t="shared" si="2"/>
        <v>(Não calculado)</v>
      </c>
      <c r="AC18" s="43" t="str">
        <f t="shared" si="2"/>
        <v>(Não calculado)</v>
      </c>
      <c r="AD18" s="43" t="str">
        <f t="shared" si="2"/>
        <v>(Não calculado)</v>
      </c>
      <c r="AE18" s="43" t="str">
        <f t="shared" si="2"/>
        <v>(Não calculado)</v>
      </c>
      <c r="AF18" s="43" t="str">
        <f t="shared" si="2"/>
        <v>(Não calculado)</v>
      </c>
      <c r="AG18" s="43" t="str">
        <f t="shared" si="2"/>
        <v>(Não calculado)</v>
      </c>
      <c r="AH18" s="43" t="str">
        <f t="shared" si="2"/>
        <v>(Não calculado)</v>
      </c>
      <c r="AI18" s="43" t="str">
        <f t="shared" si="2"/>
        <v>(Não calculado)</v>
      </c>
      <c r="AJ18" s="43" t="str">
        <f t="shared" si="2"/>
        <v>(Não calculado)</v>
      </c>
      <c r="AK18" s="43" t="str">
        <f t="shared" si="2"/>
        <v>(Não calculado)</v>
      </c>
      <c r="AL18" s="43" t="str">
        <f t="shared" si="2"/>
        <v>(Não calculado)</v>
      </c>
      <c r="AM18" s="43" t="str">
        <f t="shared" si="2"/>
        <v>(Não calculado)</v>
      </c>
      <c r="AN18" s="43" t="str">
        <f t="shared" si="2"/>
        <v>(Não calculado)</v>
      </c>
      <c r="AO18" s="43" t="str">
        <f t="shared" si="2"/>
        <v>(Não calculado)</v>
      </c>
      <c r="AP18" s="43" t="str">
        <f t="shared" si="2"/>
        <v>(Não calculado)</v>
      </c>
      <c r="AQ18" s="43" t="str">
        <f t="shared" si="2"/>
        <v>(Não calculado)</v>
      </c>
      <c r="AR18" s="43" t="str">
        <f t="shared" si="2"/>
        <v>(Não calculado)</v>
      </c>
      <c r="AS18" s="43" t="str">
        <f t="shared" si="2"/>
        <v>(Não calculado)</v>
      </c>
      <c r="AT18" s="43" t="str">
        <f t="shared" si="2"/>
        <v>(Não calculado)</v>
      </c>
      <c r="AU18" s="43" t="str">
        <f t="shared" si="2"/>
        <v>(Não calculado)</v>
      </c>
      <c r="AV18" s="43" t="str">
        <f t="shared" si="2"/>
        <v>(Não calculado)</v>
      </c>
      <c r="AW18" s="43" t="str">
        <f t="shared" si="2"/>
        <v>(Não calculado)</v>
      </c>
      <c r="AX18" s="43" t="str">
        <f t="shared" si="2"/>
        <v>(Não calculado)</v>
      </c>
      <c r="AY18" s="43" t="str">
        <f t="shared" si="2"/>
        <v>(Não calculado)</v>
      </c>
      <c r="AZ18" s="59"/>
    </row>
    <row r="19" spans="1:52" s="22" customFormat="1" ht="15" thickTop="1" x14ac:dyDescent="0.3"/>
  </sheetData>
  <sheetProtection selectLockedCells="1"/>
  <mergeCells count="8">
    <mergeCell ref="B1:L2"/>
    <mergeCell ref="E11:F11"/>
    <mergeCell ref="C10:F10"/>
    <mergeCell ref="C11:D11"/>
    <mergeCell ref="I5:K5"/>
    <mergeCell ref="B8:C8"/>
    <mergeCell ref="B6:C6"/>
    <mergeCell ref="B4:C4"/>
  </mergeCells>
  <dataValidations count="2">
    <dataValidation type="list" allowBlank="1" showInputMessage="1" showErrorMessage="1" sqref="G8" xr:uid="{524E8083-BB14-408E-B29C-7EF823EFFAF6}">
      <formula1>"Emagrecer,Engordar"</formula1>
    </dataValidation>
    <dataValidation type="list" allowBlank="1" showInputMessage="1" showErrorMessage="1" sqref="D8" xr:uid="{3382B6AD-F6BF-4A19-82CD-DCA1FCC93A91}">
      <formula1>$I$7:$I$10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ltimaData">
                <anchor moveWithCells="1" sizeWithCells="1">
                  <from>
                    <xdr:col>4</xdr:col>
                    <xdr:colOff>792480</xdr:colOff>
                    <xdr:row>2</xdr:row>
                    <xdr:rowOff>152400</xdr:rowOff>
                  </from>
                  <to>
                    <xdr:col>7</xdr:col>
                    <xdr:colOff>76200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2ECE-7502-4CAB-8B9F-8F11193AB69C}">
  <sheetPr codeName="Planilha1"/>
  <dimension ref="A1:O19"/>
  <sheetViews>
    <sheetView showGridLines="0" workbookViewId="0">
      <selection activeCell="K8" sqref="K8"/>
    </sheetView>
  </sheetViews>
  <sheetFormatPr defaultColWidth="0" defaultRowHeight="14.4" zeroHeight="1" x14ac:dyDescent="0.3"/>
  <cols>
    <col min="1" max="2" width="2.21875" style="13" customWidth="1"/>
    <col min="3" max="5" width="8.88671875" customWidth="1"/>
    <col min="6" max="6" width="11.88671875" customWidth="1"/>
    <col min="7" max="7" width="7.21875" customWidth="1"/>
    <col min="8" max="9" width="10.5546875" bestFit="1" customWidth="1"/>
    <col min="10" max="10" width="7.21875" customWidth="1"/>
    <col min="11" max="11" width="8.88671875" customWidth="1"/>
    <col min="12" max="12" width="10" customWidth="1"/>
    <col min="13" max="13" width="8.88671875" customWidth="1"/>
    <col min="14" max="15" width="2.21875" style="13" customWidth="1"/>
    <col min="16" max="16384" width="8.88671875" hidden="1"/>
  </cols>
  <sheetData>
    <row r="1" spans="3:13" s="13" customFormat="1" ht="9" customHeight="1" x14ac:dyDescent="0.3"/>
    <row r="2" spans="3:13" s="13" customFormat="1" ht="9" customHeight="1" x14ac:dyDescent="0.3"/>
    <row r="3" spans="3:13" s="13" customFormat="1" ht="9" customHeight="1" thickBot="1" x14ac:dyDescent="0.35"/>
    <row r="4" spans="3:13" ht="15" thickBot="1" x14ac:dyDescent="0.35">
      <c r="C4" s="228" t="s">
        <v>12</v>
      </c>
      <c r="D4" s="15"/>
      <c r="E4" s="15"/>
      <c r="F4" s="15"/>
      <c r="G4" s="15"/>
      <c r="H4" s="15"/>
      <c r="I4" s="15"/>
      <c r="J4" s="15"/>
      <c r="K4" s="15"/>
      <c r="L4" s="15"/>
      <c r="M4" s="16"/>
    </row>
    <row r="5" spans="3:13" ht="15" thickBot="1" x14ac:dyDescent="0.35">
      <c r="C5" s="229"/>
      <c r="D5" s="17"/>
      <c r="E5" s="18" t="s">
        <v>30</v>
      </c>
      <c r="F5" s="3"/>
      <c r="G5" s="17"/>
      <c r="H5" s="18" t="s">
        <v>23</v>
      </c>
      <c r="I5" s="73" t="str">
        <f>J5</f>
        <v>-</v>
      </c>
      <c r="J5" s="64" t="str">
        <f>IFERROR(peso/(altura*altura/10000),"-")</f>
        <v>-</v>
      </c>
      <c r="K5" s="17"/>
      <c r="L5" s="17"/>
      <c r="M5" s="19"/>
    </row>
    <row r="6" spans="3:13" ht="15" thickBot="1" x14ac:dyDescent="0.35">
      <c r="C6" s="229"/>
      <c r="D6" s="17"/>
      <c r="E6" s="17"/>
      <c r="F6" s="17"/>
      <c r="G6" s="17"/>
      <c r="H6" s="17"/>
      <c r="I6" s="17"/>
      <c r="J6" s="17"/>
      <c r="K6" s="17"/>
      <c r="L6" s="17"/>
      <c r="M6" s="19"/>
    </row>
    <row r="7" spans="3:13" ht="15" thickBot="1" x14ac:dyDescent="0.35">
      <c r="C7" s="229"/>
      <c r="D7" s="17"/>
      <c r="E7" s="18" t="s">
        <v>29</v>
      </c>
      <c r="F7" s="4"/>
      <c r="G7" s="17" t="s">
        <v>15</v>
      </c>
      <c r="H7" s="18" t="s">
        <v>24</v>
      </c>
      <c r="I7" s="74" t="str">
        <f>IF('Valores Fixos'!I8="Feminino",'Form Insert Dados'!J7,'Form Insert Dados'!J8)</f>
        <v>0</v>
      </c>
      <c r="J7" s="64" t="str">
        <f>IFERROR((495/(1.29579-0.35004*(LOG10(medidacintura+medidaquadril-medidapescoco))+0.221*(LOG10(altura)))-450)/100,"0")</f>
        <v>0</v>
      </c>
      <c r="K7" s="17"/>
      <c r="L7" s="17"/>
      <c r="M7" s="19"/>
    </row>
    <row r="8" spans="3:13" x14ac:dyDescent="0.3">
      <c r="C8" s="229"/>
      <c r="D8" s="17"/>
      <c r="E8" s="17"/>
      <c r="F8" s="17"/>
      <c r="G8" s="17"/>
      <c r="H8" s="17"/>
      <c r="I8" s="17"/>
      <c r="J8" s="64" t="str">
        <f>IFERROR((495/(1.033-0.191*(LOG10(medidacintura-medidapescoco))+0.155*(LOG10(altura)))-450)/100,"0")</f>
        <v>0</v>
      </c>
      <c r="K8" s="17"/>
      <c r="L8" s="17"/>
      <c r="M8" s="19"/>
    </row>
    <row r="9" spans="3:13" ht="15" thickBot="1" x14ac:dyDescent="0.35">
      <c r="C9" s="229"/>
      <c r="D9" s="17"/>
      <c r="E9" s="17"/>
      <c r="F9" s="17"/>
      <c r="G9" s="17"/>
      <c r="H9" s="17"/>
      <c r="I9" s="17"/>
      <c r="J9" s="17"/>
      <c r="K9" s="17"/>
      <c r="L9" s="17"/>
      <c r="M9" s="19"/>
    </row>
    <row r="10" spans="3:13" ht="24" customHeight="1" thickBot="1" x14ac:dyDescent="0.5">
      <c r="C10" s="229"/>
      <c r="D10" s="231" t="s">
        <v>13</v>
      </c>
      <c r="E10" s="232"/>
      <c r="F10" s="232"/>
      <c r="G10" s="232"/>
      <c r="H10" s="232"/>
      <c r="I10" s="232"/>
      <c r="J10" s="232"/>
      <c r="K10" s="232"/>
      <c r="L10" s="232"/>
      <c r="M10" s="233"/>
    </row>
    <row r="11" spans="3:13" ht="15" thickBot="1" x14ac:dyDescent="0.35">
      <c r="C11" s="229"/>
      <c r="D11" s="17"/>
      <c r="E11" s="17"/>
      <c r="F11" s="17"/>
      <c r="G11" s="17"/>
      <c r="H11" s="17"/>
      <c r="I11" s="17"/>
      <c r="J11" s="17"/>
      <c r="K11" s="17"/>
      <c r="L11" s="17"/>
      <c r="M11" s="19"/>
    </row>
    <row r="12" spans="3:13" ht="15" thickBot="1" x14ac:dyDescent="0.35">
      <c r="C12" s="229"/>
      <c r="D12" s="17"/>
      <c r="E12" s="18" t="s">
        <v>3</v>
      </c>
      <c r="F12" s="4"/>
      <c r="G12" s="17" t="s">
        <v>16</v>
      </c>
      <c r="H12" s="18" t="s">
        <v>4</v>
      </c>
      <c r="I12" s="4"/>
      <c r="J12" s="17" t="s">
        <v>16</v>
      </c>
      <c r="K12" s="18" t="s">
        <v>26</v>
      </c>
      <c r="L12" s="4"/>
      <c r="M12" s="19" t="s">
        <v>16</v>
      </c>
    </row>
    <row r="13" spans="3:13" ht="15" thickBot="1" x14ac:dyDescent="0.35">
      <c r="C13" s="229"/>
      <c r="D13" s="17"/>
      <c r="E13" s="17"/>
      <c r="F13" s="17"/>
      <c r="G13" s="17"/>
      <c r="H13" s="17"/>
      <c r="I13" s="17"/>
      <c r="J13" s="17"/>
      <c r="K13" s="17"/>
      <c r="L13" s="17"/>
      <c r="M13" s="19"/>
    </row>
    <row r="14" spans="3:13" ht="15" thickBot="1" x14ac:dyDescent="0.35">
      <c r="C14" s="229"/>
      <c r="D14" s="17"/>
      <c r="E14" s="18" t="s">
        <v>8</v>
      </c>
      <c r="F14" s="4"/>
      <c r="G14" s="17" t="s">
        <v>16</v>
      </c>
      <c r="H14" s="18" t="s">
        <v>28</v>
      </c>
      <c r="I14" s="4"/>
      <c r="J14" s="17" t="s">
        <v>16</v>
      </c>
      <c r="K14" s="18" t="s">
        <v>27</v>
      </c>
      <c r="L14" s="4"/>
      <c r="M14" s="19" t="s">
        <v>16</v>
      </c>
    </row>
    <row r="15" spans="3:13" x14ac:dyDescent="0.3">
      <c r="C15" s="229"/>
      <c r="D15" s="17"/>
      <c r="E15" s="17"/>
      <c r="F15" s="17"/>
      <c r="G15" s="17"/>
      <c r="H15" s="234" t="s">
        <v>104</v>
      </c>
      <c r="I15" s="234"/>
      <c r="J15" s="234"/>
      <c r="K15" s="17"/>
      <c r="L15" s="17"/>
      <c r="M15" s="19"/>
    </row>
    <row r="16" spans="3:13" ht="15" thickBot="1" x14ac:dyDescent="0.35">
      <c r="C16" s="230"/>
      <c r="D16" s="20"/>
      <c r="E16" s="20"/>
      <c r="F16" s="20"/>
      <c r="G16" s="20"/>
      <c r="H16" s="20"/>
      <c r="I16" s="20"/>
      <c r="J16" s="20"/>
      <c r="K16" s="20"/>
      <c r="L16" s="20"/>
      <c r="M16" s="21"/>
    </row>
    <row r="17" spans="6:6" s="13" customFormat="1" ht="9" customHeight="1" x14ac:dyDescent="0.3"/>
    <row r="18" spans="6:6" s="13" customFormat="1" x14ac:dyDescent="0.3">
      <c r="F18" s="14"/>
    </row>
    <row r="19" spans="6:6" s="13" customFormat="1" ht="9" customHeight="1" x14ac:dyDescent="0.3"/>
  </sheetData>
  <sheetProtection selectLockedCells="1"/>
  <mergeCells count="3">
    <mergeCell ref="C4:C16"/>
    <mergeCell ref="D10:M10"/>
    <mergeCell ref="H15:J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fereDados">
                <anchor moveWithCells="1" sizeWithCells="1">
                  <from>
                    <xdr:col>10</xdr:col>
                    <xdr:colOff>586740</xdr:colOff>
                    <xdr:row>3</xdr:row>
                    <xdr:rowOff>137160</xdr:rowOff>
                  </from>
                  <to>
                    <xdr:col>12</xdr:col>
                    <xdr:colOff>434340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aForm">
                <anchor moveWithCells="1" sizeWithCells="1">
                  <from>
                    <xdr:col>10</xdr:col>
                    <xdr:colOff>586740</xdr:colOff>
                    <xdr:row>6</xdr:row>
                    <xdr:rowOff>45720</xdr:rowOff>
                  </from>
                  <to>
                    <xdr:col>12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ataHoje">
                <anchor moveWithCells="1" sizeWithCells="1">
                  <from>
                    <xdr:col>3</xdr:col>
                    <xdr:colOff>167640</xdr:colOff>
                    <xdr:row>3</xdr:row>
                    <xdr:rowOff>182880</xdr:rowOff>
                  </from>
                  <to>
                    <xdr:col>4</xdr:col>
                    <xdr:colOff>45720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8F35-A906-4506-847A-4A92A4432A3F}">
  <sheetPr codeName="Planilha4"/>
  <dimension ref="A1:J31"/>
  <sheetViews>
    <sheetView showGridLines="0" workbookViewId="0">
      <selection activeCell="E15" sqref="E15"/>
    </sheetView>
  </sheetViews>
  <sheetFormatPr defaultColWidth="0" defaultRowHeight="14.4" x14ac:dyDescent="0.3"/>
  <cols>
    <col min="1" max="1" width="10.5546875" style="62" bestFit="1" customWidth="1"/>
    <col min="2" max="9" width="8.88671875" style="62" customWidth="1"/>
    <col min="10" max="10" width="8.88671875" style="82" customWidth="1"/>
    <col min="11" max="16384" width="8.88671875" style="81" hidden="1"/>
  </cols>
  <sheetData>
    <row r="1" spans="1:10" customFormat="1" x14ac:dyDescent="0.3">
      <c r="A1" s="65" t="s">
        <v>0</v>
      </c>
      <c r="B1" s="65" t="s">
        <v>1</v>
      </c>
      <c r="C1" s="65" t="s">
        <v>2</v>
      </c>
      <c r="D1" s="65" t="s">
        <v>5</v>
      </c>
      <c r="E1" s="65" t="s">
        <v>6</v>
      </c>
      <c r="F1" s="65" t="s">
        <v>7</v>
      </c>
      <c r="G1" s="65" t="s">
        <v>25</v>
      </c>
      <c r="H1" s="65" t="s">
        <v>14</v>
      </c>
      <c r="I1" s="65" t="s">
        <v>10</v>
      </c>
      <c r="J1" s="65" t="s">
        <v>11</v>
      </c>
    </row>
    <row r="2" spans="1:10" customFormat="1" ht="15" thickBot="1" x14ac:dyDescent="0.35">
      <c r="A2" s="66"/>
      <c r="B2" s="66"/>
      <c r="C2" s="66"/>
      <c r="D2" s="66"/>
      <c r="E2" s="66"/>
      <c r="F2" s="66"/>
      <c r="G2" s="66"/>
      <c r="H2" s="66"/>
      <c r="I2" s="66"/>
      <c r="J2" s="66"/>
    </row>
    <row r="3" spans="1:10" s="10" customFormat="1" ht="3" customHeight="1" x14ac:dyDescent="0.3"/>
    <row r="4" spans="1:10" s="9" customForma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</row>
    <row r="5" spans="1:10" s="9" customFormat="1" x14ac:dyDescent="0.3">
      <c r="A5" s="22"/>
      <c r="B5" s="22"/>
      <c r="C5" s="22"/>
      <c r="D5" s="22"/>
      <c r="E5" s="22"/>
      <c r="F5" s="22"/>
      <c r="G5" s="22"/>
      <c r="H5" s="22"/>
      <c r="I5" s="22"/>
      <c r="J5" s="22"/>
    </row>
    <row r="6" spans="1:10" s="9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</row>
    <row r="7" spans="1:10" customFormat="1" x14ac:dyDescent="0.3">
      <c r="A7" s="75" t="s">
        <v>0</v>
      </c>
      <c r="B7" s="76" t="s">
        <v>1</v>
      </c>
      <c r="C7" s="77" t="s">
        <v>2</v>
      </c>
      <c r="D7" s="77" t="s">
        <v>5</v>
      </c>
      <c r="E7" s="77" t="s">
        <v>6</v>
      </c>
      <c r="F7" s="77" t="s">
        <v>7</v>
      </c>
      <c r="G7" s="77" t="s">
        <v>25</v>
      </c>
      <c r="H7" s="77" t="s">
        <v>14</v>
      </c>
      <c r="I7" s="78" t="s">
        <v>10</v>
      </c>
      <c r="J7" s="77" t="s">
        <v>11</v>
      </c>
    </row>
    <row r="8" spans="1:10" customFormat="1" x14ac:dyDescent="0.3">
      <c r="A8" s="1"/>
      <c r="I8" s="2"/>
    </row>
    <row r="9" spans="1:10" customFormat="1" x14ac:dyDescent="0.3">
      <c r="A9" s="1"/>
      <c r="I9" s="2"/>
    </row>
    <row r="10" spans="1:10" customFormat="1" x14ac:dyDescent="0.3">
      <c r="A10" s="1"/>
      <c r="I10" s="2"/>
    </row>
    <row r="11" spans="1:10" customFormat="1" x14ac:dyDescent="0.3">
      <c r="A11" s="1"/>
      <c r="I11" s="2"/>
    </row>
    <row r="12" spans="1:10" customFormat="1" x14ac:dyDescent="0.3">
      <c r="A12" s="1"/>
      <c r="I12" s="2"/>
    </row>
    <row r="13" spans="1:10" customFormat="1" x14ac:dyDescent="0.3">
      <c r="A13" s="1"/>
      <c r="I13" s="2"/>
    </row>
    <row r="14" spans="1:10" customFormat="1" x14ac:dyDescent="0.3">
      <c r="A14" s="1"/>
      <c r="I14" s="2"/>
    </row>
    <row r="15" spans="1:10" customFormat="1" x14ac:dyDescent="0.3">
      <c r="A15" s="1"/>
      <c r="I15" s="2"/>
    </row>
    <row r="16" spans="1:10" customFormat="1" x14ac:dyDescent="0.3">
      <c r="A16" s="1"/>
      <c r="I16" s="2"/>
    </row>
    <row r="17" spans="1:10" x14ac:dyDescent="0.3">
      <c r="A17" s="79"/>
      <c r="I17" s="80"/>
      <c r="J17" s="62"/>
    </row>
    <row r="18" spans="1:10" x14ac:dyDescent="0.3">
      <c r="A18" s="79"/>
      <c r="I18" s="80"/>
      <c r="J18" s="62"/>
    </row>
    <row r="19" spans="1:10" x14ac:dyDescent="0.3">
      <c r="A19" s="79"/>
      <c r="I19" s="80"/>
      <c r="J19" s="62"/>
    </row>
    <row r="20" spans="1:10" x14ac:dyDescent="0.3">
      <c r="A20" s="79"/>
      <c r="I20" s="80"/>
      <c r="J20" s="62"/>
    </row>
    <row r="21" spans="1:10" x14ac:dyDescent="0.3">
      <c r="A21" s="79"/>
      <c r="I21" s="80"/>
      <c r="J21" s="62"/>
    </row>
    <row r="22" spans="1:10" x14ac:dyDescent="0.3">
      <c r="A22" s="79"/>
      <c r="I22" s="80"/>
    </row>
    <row r="23" spans="1:10" x14ac:dyDescent="0.3">
      <c r="A23" s="79"/>
      <c r="I23" s="80"/>
    </row>
    <row r="24" spans="1:10" x14ac:dyDescent="0.3">
      <c r="A24" s="79"/>
      <c r="I24" s="80"/>
    </row>
    <row r="25" spans="1:10" x14ac:dyDescent="0.3">
      <c r="A25" s="79"/>
      <c r="I25" s="80"/>
    </row>
    <row r="26" spans="1:10" x14ac:dyDescent="0.3">
      <c r="A26" s="79"/>
      <c r="I26" s="80"/>
    </row>
    <row r="27" spans="1:10" x14ac:dyDescent="0.3">
      <c r="A27" s="79"/>
      <c r="I27" s="80"/>
    </row>
    <row r="28" spans="1:10" x14ac:dyDescent="0.3">
      <c r="A28" s="79"/>
      <c r="I28" s="80"/>
    </row>
    <row r="29" spans="1:10" x14ac:dyDescent="0.3">
      <c r="A29" s="79"/>
      <c r="I29" s="80"/>
    </row>
    <row r="30" spans="1:10" x14ac:dyDescent="0.3">
      <c r="A30" s="79"/>
      <c r="I30" s="80"/>
    </row>
    <row r="31" spans="1:10" x14ac:dyDescent="0.3">
      <c r="A31" s="79"/>
      <c r="I31" s="80"/>
    </row>
  </sheetData>
  <sheetProtection select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traBanco">
                <anchor moveWithCells="1" sizeWithCells="1">
                  <from>
                    <xdr:col>0</xdr:col>
                    <xdr:colOff>198120</xdr:colOff>
                    <xdr:row>3</xdr:row>
                    <xdr:rowOff>99060</xdr:rowOff>
                  </from>
                  <to>
                    <xdr:col>1</xdr:col>
                    <xdr:colOff>556260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impaFiltros">
                <anchor moveWithCells="1" sizeWithCells="1">
                  <from>
                    <xdr:col>2</xdr:col>
                    <xdr:colOff>281940</xdr:colOff>
                    <xdr:row>3</xdr:row>
                    <xdr:rowOff>106680</xdr:rowOff>
                  </from>
                  <to>
                    <xdr:col>3</xdr:col>
                    <xdr:colOff>434340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enuDashboard">
                <anchor moveWithCells="1" sizeWithCells="1">
                  <from>
                    <xdr:col>4</xdr:col>
                    <xdr:colOff>68580</xdr:colOff>
                    <xdr:row>3</xdr:row>
                    <xdr:rowOff>114300</xdr:rowOff>
                  </from>
                  <to>
                    <xdr:col>5</xdr:col>
                    <xdr:colOff>556260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59EE-2E5C-4476-94A2-DA599FB91AF9}">
  <sheetPr codeName="Planilha3"/>
  <dimension ref="A1:M20"/>
  <sheetViews>
    <sheetView workbookViewId="0">
      <selection activeCell="E10" sqref="E10:F10"/>
    </sheetView>
  </sheetViews>
  <sheetFormatPr defaultColWidth="0" defaultRowHeight="14.4" zeroHeight="1" x14ac:dyDescent="0.3"/>
  <cols>
    <col min="1" max="2" width="8.88671875" style="22" customWidth="1"/>
    <col min="3" max="3" width="8.88671875" customWidth="1"/>
    <col min="4" max="4" width="11.6640625" bestFit="1" customWidth="1"/>
    <col min="5" max="6" width="10.5546875" bestFit="1" customWidth="1"/>
    <col min="7" max="7" width="5.44140625" customWidth="1"/>
    <col min="8" max="8" width="10.5546875" bestFit="1" customWidth="1"/>
    <col min="9" max="9" width="18" customWidth="1"/>
    <col min="10" max="10" width="10.5546875" customWidth="1"/>
    <col min="11" max="11" width="10.5546875" style="22" bestFit="1" customWidth="1"/>
    <col min="12" max="12" width="8.88671875" style="22" hidden="1" customWidth="1"/>
    <col min="13" max="13" width="0" hidden="1" customWidth="1"/>
    <col min="14" max="16384" width="8.88671875" hidden="1"/>
  </cols>
  <sheetData>
    <row r="1" spans="3:11" s="22" customFormat="1" x14ac:dyDescent="0.3"/>
    <row r="2" spans="3:11" s="22" customFormat="1" ht="15" thickBot="1" x14ac:dyDescent="0.35"/>
    <row r="3" spans="3:11" x14ac:dyDescent="0.3">
      <c r="C3" s="235" t="s">
        <v>17</v>
      </c>
      <c r="D3" s="236"/>
      <c r="E3" s="236"/>
      <c r="F3" s="236"/>
      <c r="G3" s="236"/>
      <c r="H3" s="236"/>
      <c r="I3" s="236"/>
      <c r="J3" s="237"/>
    </row>
    <row r="4" spans="3:11" ht="15" thickBot="1" x14ac:dyDescent="0.35">
      <c r="C4" s="238"/>
      <c r="D4" s="239"/>
      <c r="E4" s="239"/>
      <c r="F4" s="239"/>
      <c r="G4" s="239"/>
      <c r="H4" s="239"/>
      <c r="I4" s="239"/>
      <c r="J4" s="240"/>
    </row>
    <row r="5" spans="3:11" ht="15" thickBot="1" x14ac:dyDescent="0.35">
      <c r="C5" s="25"/>
      <c r="D5" s="24"/>
      <c r="E5" s="24"/>
      <c r="F5" s="24"/>
      <c r="G5" s="24"/>
      <c r="H5" s="24"/>
      <c r="I5" s="24"/>
      <c r="J5" s="26"/>
    </row>
    <row r="6" spans="3:11" ht="15" thickBot="1" x14ac:dyDescent="0.35">
      <c r="C6" s="25"/>
      <c r="D6" s="24" t="s">
        <v>20</v>
      </c>
      <c r="E6" s="241">
        <f ca="1">TODAY()</f>
        <v>44420</v>
      </c>
      <c r="F6" s="242"/>
      <c r="G6" s="24"/>
      <c r="H6" s="24" t="s">
        <v>21</v>
      </c>
      <c r="I6" s="3"/>
      <c r="J6" s="34"/>
    </row>
    <row r="7" spans="3:11" ht="15" thickBot="1" x14ac:dyDescent="0.35">
      <c r="C7" s="25"/>
      <c r="D7" s="24"/>
      <c r="E7" s="24"/>
      <c r="F7" s="24"/>
      <c r="G7" s="24"/>
      <c r="H7" s="24"/>
      <c r="I7" s="24"/>
      <c r="J7" s="26"/>
    </row>
    <row r="8" spans="3:11" ht="15" thickBot="1" x14ac:dyDescent="0.35">
      <c r="C8" s="25"/>
      <c r="D8" s="24" t="s">
        <v>18</v>
      </c>
      <c r="E8" s="71">
        <f ca="1">(E6-I6)/365</f>
        <v>121.6986301369863</v>
      </c>
      <c r="F8" s="72" t="s">
        <v>22</v>
      </c>
      <c r="G8" s="24"/>
      <c r="H8" s="35" t="s">
        <v>103</v>
      </c>
      <c r="I8" s="63" t="s">
        <v>102</v>
      </c>
      <c r="J8" s="26"/>
    </row>
    <row r="9" spans="3:11" ht="15" thickBot="1" x14ac:dyDescent="0.35">
      <c r="C9" s="25"/>
      <c r="D9" s="24"/>
      <c r="E9" s="24"/>
      <c r="F9" s="24"/>
      <c r="G9" s="24"/>
      <c r="H9" s="24"/>
      <c r="I9" s="24"/>
      <c r="J9" s="26"/>
    </row>
    <row r="10" spans="3:11" ht="15" thickBot="1" x14ac:dyDescent="0.35">
      <c r="C10" s="25"/>
      <c r="D10" s="24" t="s">
        <v>19</v>
      </c>
      <c r="E10" s="243"/>
      <c r="F10" s="244"/>
      <c r="G10" s="24" t="s">
        <v>16</v>
      </c>
      <c r="H10" s="24"/>
      <c r="I10" s="24"/>
      <c r="J10" s="26"/>
      <c r="K10" s="32"/>
    </row>
    <row r="11" spans="3:11" ht="15" thickBot="1" x14ac:dyDescent="0.35">
      <c r="C11" s="27"/>
      <c r="D11" s="28"/>
      <c r="E11" s="28"/>
      <c r="F11" s="28"/>
      <c r="G11" s="28"/>
      <c r="H11" s="28"/>
      <c r="I11" s="36"/>
      <c r="J11" s="37"/>
    </row>
    <row r="12" spans="3:11" s="22" customFormat="1" x14ac:dyDescent="0.3">
      <c r="I12" s="33"/>
      <c r="J12" s="33"/>
    </row>
    <row r="13" spans="3:11" s="22" customFormat="1" x14ac:dyDescent="0.3"/>
    <row r="14" spans="3:11" hidden="1" x14ac:dyDescent="0.3">
      <c r="E14" s="5"/>
    </row>
    <row r="20" spans="9:10" hidden="1" x14ac:dyDescent="0.3">
      <c r="I20" s="8"/>
      <c r="J20" s="8"/>
    </row>
  </sheetData>
  <sheetProtection selectLockedCells="1"/>
  <mergeCells count="3">
    <mergeCell ref="C3:J4"/>
    <mergeCell ref="E6:F6"/>
    <mergeCell ref="E10:F10"/>
  </mergeCells>
  <dataValidations count="1">
    <dataValidation type="list" showInputMessage="1" showErrorMessage="1" sqref="I8" xr:uid="{094FF660-4230-4CB5-BDAB-DCB56E4450F2}">
      <formula1>"Masculino,Feminino"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6" r:id="rId3" name="Button 10">
              <controlPr defaultSize="0" print="0" autoFill="0" autoPict="0" macro="[0]!MenuDashboard">
                <anchor moveWithCells="1" sizeWithCells="1">
                  <from>
                    <xdr:col>8</xdr:col>
                    <xdr:colOff>83820</xdr:colOff>
                    <xdr:row>8</xdr:row>
                    <xdr:rowOff>106680</xdr:rowOff>
                  </from>
                  <to>
                    <xdr:col>8</xdr:col>
                    <xdr:colOff>1181100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22947-29DE-41A8-989C-857D77258AD5}">
  <sheetPr codeName="Planilha7"/>
  <dimension ref="A1:Q14"/>
  <sheetViews>
    <sheetView showGridLines="0" zoomScale="55" zoomScaleNormal="55" workbookViewId="0">
      <selection activeCell="I38" sqref="I38"/>
    </sheetView>
  </sheetViews>
  <sheetFormatPr defaultColWidth="0" defaultRowHeight="14.4" x14ac:dyDescent="0.3"/>
  <cols>
    <col min="1" max="1" width="24.5546875" bestFit="1" customWidth="1"/>
    <col min="2" max="2" width="17.88671875" bestFit="1" customWidth="1"/>
    <col min="3" max="3" width="5.44140625" style="10" customWidth="1"/>
    <col min="4" max="4" width="24.5546875" bestFit="1" customWidth="1"/>
    <col min="5" max="5" width="20.6640625" bestFit="1" customWidth="1"/>
    <col min="6" max="6" width="20.5546875" bestFit="1" customWidth="1"/>
    <col min="7" max="7" width="22.33203125" bestFit="1" customWidth="1"/>
    <col min="8" max="8" width="19.88671875" bestFit="1" customWidth="1"/>
    <col min="9" max="9" width="22.33203125" bestFit="1" customWidth="1"/>
    <col min="10" max="10" width="24" bestFit="1" customWidth="1"/>
    <col min="11" max="11" width="5.44140625" style="10" customWidth="1"/>
    <col min="12" max="12" width="24.5546875" bestFit="1" customWidth="1"/>
    <col min="13" max="13" width="16.21875" bestFit="1" customWidth="1"/>
    <col min="14" max="14" width="5.44140625" style="10" customWidth="1"/>
    <col min="15" max="15" width="24.5546875" bestFit="1" customWidth="1"/>
    <col min="16" max="16" width="23.5546875" style="6" bestFit="1" customWidth="1"/>
    <col min="17" max="17" width="0" hidden="1" customWidth="1"/>
    <col min="18" max="16384" width="8.88671875" hidden="1"/>
  </cols>
  <sheetData>
    <row r="1" spans="1:16" x14ac:dyDescent="0.3">
      <c r="A1" s="11" t="s">
        <v>31</v>
      </c>
      <c r="B1" t="s">
        <v>33</v>
      </c>
      <c r="D1" s="11" t="s">
        <v>31</v>
      </c>
      <c r="E1" t="s">
        <v>40</v>
      </c>
      <c r="F1" t="s">
        <v>39</v>
      </c>
      <c r="G1" t="s">
        <v>38</v>
      </c>
      <c r="H1" t="s">
        <v>37</v>
      </c>
      <c r="I1" t="s">
        <v>36</v>
      </c>
      <c r="J1" t="s">
        <v>35</v>
      </c>
      <c r="L1" s="11" t="s">
        <v>31</v>
      </c>
      <c r="M1" t="s">
        <v>47</v>
      </c>
      <c r="O1" s="11" t="s">
        <v>31</v>
      </c>
      <c r="P1" t="s">
        <v>48</v>
      </c>
    </row>
    <row r="2" spans="1:16" x14ac:dyDescent="0.3">
      <c r="A2" s="12" t="s">
        <v>32</v>
      </c>
      <c r="B2" s="7"/>
      <c r="D2" s="12" t="s">
        <v>32</v>
      </c>
      <c r="E2" s="7"/>
      <c r="F2" s="7"/>
      <c r="G2" s="7"/>
      <c r="H2" s="7"/>
      <c r="I2" s="7"/>
      <c r="J2" s="7"/>
      <c r="L2" s="12" t="s">
        <v>32</v>
      </c>
      <c r="M2" s="7"/>
      <c r="O2" s="12" t="s">
        <v>32</v>
      </c>
      <c r="P2" s="7"/>
    </row>
    <row r="3" spans="1:16" x14ac:dyDescent="0.3">
      <c r="P3"/>
    </row>
    <row r="4" spans="1:16" x14ac:dyDescent="0.3">
      <c r="P4"/>
    </row>
    <row r="5" spans="1:16" x14ac:dyDescent="0.3">
      <c r="P5"/>
    </row>
    <row r="6" spans="1:16" x14ac:dyDescent="0.3">
      <c r="P6"/>
    </row>
    <row r="7" spans="1:16" x14ac:dyDescent="0.3">
      <c r="P7"/>
    </row>
    <row r="8" spans="1:16" x14ac:dyDescent="0.3">
      <c r="P8"/>
    </row>
    <row r="9" spans="1:16" x14ac:dyDescent="0.3">
      <c r="P9"/>
    </row>
    <row r="10" spans="1:16" x14ac:dyDescent="0.3">
      <c r="P10"/>
    </row>
    <row r="11" spans="1:16" x14ac:dyDescent="0.3">
      <c r="P11"/>
    </row>
    <row r="12" spans="1:16" x14ac:dyDescent="0.3">
      <c r="P12"/>
    </row>
    <row r="13" spans="1:16" x14ac:dyDescent="0.3">
      <c r="P13"/>
    </row>
    <row r="14" spans="1:16" x14ac:dyDescent="0.3">
      <c r="P14"/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2555A-3D3F-455F-8E08-B1BEB018E27C}">
  <sheetPr codeName="Planilha2"/>
  <dimension ref="A1:J2"/>
  <sheetViews>
    <sheetView workbookViewId="0">
      <selection activeCell="D20" sqref="D20"/>
    </sheetView>
  </sheetViews>
  <sheetFormatPr defaultColWidth="0" defaultRowHeight="14.4" x14ac:dyDescent="0.3"/>
  <cols>
    <col min="1" max="1" width="10.5546875" style="1" bestFit="1" customWidth="1"/>
    <col min="2" max="8" width="8.88671875" customWidth="1"/>
    <col min="9" max="9" width="8.88671875" style="2" customWidth="1"/>
    <col min="10" max="10" width="8.88671875" customWidth="1"/>
    <col min="11" max="16384" width="8.88671875" hidden="1"/>
  </cols>
  <sheetData>
    <row r="1" spans="1:10" x14ac:dyDescent="0.3">
      <c r="C1" s="245" t="s">
        <v>9</v>
      </c>
      <c r="D1" s="245"/>
      <c r="E1" s="245"/>
      <c r="F1" s="245"/>
      <c r="G1" s="245"/>
      <c r="H1" s="245"/>
      <c r="I1" s="246" t="s">
        <v>34</v>
      </c>
      <c r="J1" s="246"/>
    </row>
    <row r="2" spans="1:10" x14ac:dyDescent="0.3">
      <c r="A2" s="31" t="s">
        <v>0</v>
      </c>
      <c r="B2" s="30" t="s">
        <v>1</v>
      </c>
      <c r="C2" t="s">
        <v>2</v>
      </c>
      <c r="D2" t="s">
        <v>5</v>
      </c>
      <c r="E2" t="s">
        <v>6</v>
      </c>
      <c r="F2" t="s">
        <v>7</v>
      </c>
      <c r="G2" t="s">
        <v>25</v>
      </c>
      <c r="H2" t="s">
        <v>14</v>
      </c>
      <c r="I2" s="2" t="s">
        <v>10</v>
      </c>
      <c r="J2" t="s">
        <v>11</v>
      </c>
    </row>
  </sheetData>
  <sheetProtection selectLockedCells="1"/>
  <mergeCells count="2">
    <mergeCell ref="C1:H1"/>
    <mergeCell ref="I1:J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48</vt:i4>
      </vt:variant>
    </vt:vector>
  </HeadingPairs>
  <TitlesOfParts>
    <vt:vector size="55" baseType="lpstr">
      <vt:lpstr>Dashboard</vt:lpstr>
      <vt:lpstr>Simulação</vt:lpstr>
      <vt:lpstr>Form Insert Dados</vt:lpstr>
      <vt:lpstr>Banco Filtrado</vt:lpstr>
      <vt:lpstr>Valores Fixos</vt:lpstr>
      <vt:lpstr>Dados Dashboard</vt:lpstr>
      <vt:lpstr>Banco de Dados</vt:lpstr>
      <vt:lpstr>altura</vt:lpstr>
      <vt:lpstr>'Banco Filtrado'!Area_de_extracao</vt:lpstr>
      <vt:lpstr>Atingiu</vt:lpstr>
      <vt:lpstr>Bancodedados</vt:lpstr>
      <vt:lpstr>BancoFiltrado</vt:lpstr>
      <vt:lpstr>'Banco Filtrado'!Criterios</vt:lpstr>
      <vt:lpstr>data</vt:lpstr>
      <vt:lpstr>DataAtual</vt:lpstr>
      <vt:lpstr>DataFiltrada</vt:lpstr>
      <vt:lpstr>DataPenultima</vt:lpstr>
      <vt:lpstr>DataReferencia</vt:lpstr>
      <vt:lpstr>dsgMediaIMc</vt:lpstr>
      <vt:lpstr>dshDataMeta</vt:lpstr>
      <vt:lpstr>dshDiferenca</vt:lpstr>
      <vt:lpstr>dshDiferençaData</vt:lpstr>
      <vt:lpstr>dshDiferencaGordura</vt:lpstr>
      <vt:lpstr>dshDiferencaIMC</vt:lpstr>
      <vt:lpstr>dshEstilo</vt:lpstr>
      <vt:lpstr>dshInicioPrograma</vt:lpstr>
      <vt:lpstr>dshMaiorPeso</vt:lpstr>
      <vt:lpstr>dshMediaGordura</vt:lpstr>
      <vt:lpstr>dshMenorPeso</vt:lpstr>
      <vt:lpstr>dshMeta</vt:lpstr>
      <vt:lpstr>dshObjetivo</vt:lpstr>
      <vt:lpstr>dshPrimeiraGrd</vt:lpstr>
      <vt:lpstr>dshPrimeiraPesagem</vt:lpstr>
      <vt:lpstr>dshPrimeiroIMC</vt:lpstr>
      <vt:lpstr>dshUltimaData</vt:lpstr>
      <vt:lpstr>dshUltimaGrd</vt:lpstr>
      <vt:lpstr>dshUltimoIMC</vt:lpstr>
      <vt:lpstr>EmagrecerData</vt:lpstr>
      <vt:lpstr>EngordarData</vt:lpstr>
      <vt:lpstr>gordura</vt:lpstr>
      <vt:lpstr>idade</vt:lpstr>
      <vt:lpstr>imc</vt:lpstr>
      <vt:lpstr>Indice</vt:lpstr>
      <vt:lpstr>IndiceCalculado</vt:lpstr>
      <vt:lpstr>LastData</vt:lpstr>
      <vt:lpstr>medidabraco</vt:lpstr>
      <vt:lpstr>medidacintura</vt:lpstr>
      <vt:lpstr>medidapeito</vt:lpstr>
      <vt:lpstr>medidaperna</vt:lpstr>
      <vt:lpstr>medidapescoco</vt:lpstr>
      <vt:lpstr>medidaquadril</vt:lpstr>
      <vt:lpstr>Objetivo</vt:lpstr>
      <vt:lpstr>peso</vt:lpstr>
      <vt:lpstr>PesoFiltrado</vt:lpstr>
      <vt:lpstr>simMeta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Medeiros</dc:creator>
  <cp:lastModifiedBy>Vinicius Medeiros</cp:lastModifiedBy>
  <dcterms:created xsi:type="dcterms:W3CDTF">2021-08-08T21:48:47Z</dcterms:created>
  <dcterms:modified xsi:type="dcterms:W3CDTF">2021-08-13T01:20:23Z</dcterms:modified>
</cp:coreProperties>
</file>